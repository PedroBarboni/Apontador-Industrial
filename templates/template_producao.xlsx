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S:\TERMINAL\Maio\"/>
    </mc:Choice>
  </mc:AlternateContent>
  <xr:revisionPtr revIDLastSave="0" documentId="13_ncr:1_{5783F68E-1229-41FC-8A98-99669BEE5A7B}" xr6:coauthVersionLast="47" xr6:coauthVersionMax="47" xr10:uidLastSave="{00000000-0000-0000-0000-000000000000}"/>
  <bookViews>
    <workbookView xWindow="-120" yWindow="-120" windowWidth="20730" windowHeight="11160" tabRatio="484" activeTab="2" xr2:uid="{00000000-000D-0000-FFFF-FFFF00000000}"/>
  </bookViews>
  <sheets>
    <sheet name="BD" sheetId="4" r:id="rId1"/>
    <sheet name="Gráfico2" sheetId="15" r:id="rId2"/>
    <sheet name="BD_LANÇAMENTOS" sheetId="8" r:id="rId3"/>
    <sheet name="PRODUTO" sheetId="2" r:id="rId4"/>
    <sheet name="META POR HORA" sheetId="11" r:id="rId5"/>
    <sheet name="Planilha1" sheetId="13" r:id="rId6"/>
    <sheet name="Gráfico1" sheetId="14" r:id="rId7"/>
    <sheet name="PROJETO" sheetId="12" r:id="rId8"/>
  </sheets>
  <externalReferences>
    <externalReference r:id="rId9"/>
    <externalReference r:id="rId10"/>
  </externalReferences>
  <definedNames>
    <definedName name="_xlnm._FilterDatabase" localSheetId="0" hidden="1">BD!$C$1:$C$68</definedName>
    <definedName name="_xlnm._FilterDatabase" localSheetId="4" hidden="1">'META POR HORA'!$A$1:$C$29</definedName>
    <definedName name="_xlnm._FilterDatabase" localSheetId="7" hidden="1">PROJETO!$A$22:$A$28</definedName>
    <definedName name="_xlnm.Print_Area" localSheetId="2">BD_LANÇAMENTOS!$A$1:$AP$2</definedName>
    <definedName name="DadosExternos_1" localSheetId="3" hidden="1">PRODUTO!$A$1:$E$1219</definedName>
    <definedName name="PESO">#REF!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8" l="1"/>
  <c r="S30" i="8" s="1"/>
  <c r="T30" i="8" s="1"/>
  <c r="U30" i="8" s="1"/>
  <c r="O30" i="8"/>
  <c r="N30" i="8"/>
  <c r="M30" i="8"/>
  <c r="H30" i="8"/>
  <c r="K30" i="8" s="1"/>
  <c r="L30" i="8" s="1"/>
  <c r="I30" i="8" s="1"/>
  <c r="J30" i="8" s="1"/>
  <c r="Q29" i="8"/>
  <c r="S29" i="8" s="1"/>
  <c r="T29" i="8" s="1"/>
  <c r="U29" i="8" s="1"/>
  <c r="O29" i="8"/>
  <c r="N29" i="8"/>
  <c r="M29" i="8"/>
  <c r="H29" i="8"/>
  <c r="K29" i="8" s="1"/>
  <c r="L29" i="8" s="1"/>
  <c r="I29" i="8" s="1"/>
  <c r="J29" i="8" s="1"/>
  <c r="Q14" i="8"/>
  <c r="S14" i="8" s="1"/>
  <c r="T14" i="8" s="1"/>
  <c r="U14" i="8" s="1"/>
  <c r="O14" i="8"/>
  <c r="N14" i="8"/>
  <c r="M14" i="8"/>
  <c r="H14" i="8"/>
  <c r="K14" i="8" s="1"/>
  <c r="L14" i="8" s="1"/>
  <c r="I14" i="8" s="1"/>
  <c r="J14" i="8" s="1"/>
  <c r="Q13" i="8"/>
  <c r="S13" i="8" s="1"/>
  <c r="T13" i="8" s="1"/>
  <c r="U13" i="8" s="1"/>
  <c r="O13" i="8"/>
  <c r="N13" i="8"/>
  <c r="M13" i="8"/>
  <c r="H13" i="8"/>
  <c r="K13" i="8" s="1"/>
  <c r="L13" i="8" s="1"/>
  <c r="I13" i="8" s="1"/>
  <c r="J13" i="8" s="1"/>
  <c r="Q22" i="8"/>
  <c r="S22" i="8" s="1"/>
  <c r="T22" i="8" s="1"/>
  <c r="U22" i="8" s="1"/>
  <c r="O22" i="8"/>
  <c r="N22" i="8"/>
  <c r="M22" i="8"/>
  <c r="H22" i="8"/>
  <c r="K22" i="8" s="1"/>
  <c r="L22" i="8" s="1"/>
  <c r="I22" i="8" s="1"/>
  <c r="J22" i="8" s="1"/>
  <c r="Q21" i="8"/>
  <c r="S21" i="8" s="1"/>
  <c r="T21" i="8" s="1"/>
  <c r="U21" i="8" s="1"/>
  <c r="O21" i="8"/>
  <c r="N21" i="8"/>
  <c r="M21" i="8"/>
  <c r="H21" i="8"/>
  <c r="K21" i="8" s="1"/>
  <c r="L21" i="8" s="1"/>
  <c r="I21" i="8" s="1"/>
  <c r="J21" i="8" s="1"/>
  <c r="T7" i="8"/>
  <c r="U7" i="8" s="1"/>
  <c r="Q7" i="8"/>
  <c r="O7" i="8"/>
  <c r="N7" i="8"/>
  <c r="M7" i="8"/>
  <c r="H7" i="8"/>
  <c r="K7" i="8" s="1"/>
  <c r="L7" i="8" s="1"/>
  <c r="I7" i="8" s="1"/>
  <c r="J7" i="8" s="1"/>
  <c r="T6" i="8"/>
  <c r="U6" i="8" s="1"/>
  <c r="Q6" i="8"/>
  <c r="O6" i="8"/>
  <c r="N6" i="8"/>
  <c r="M6" i="8"/>
  <c r="H6" i="8"/>
  <c r="K6" i="8" s="1"/>
  <c r="L6" i="8" s="1"/>
  <c r="I6" i="8" s="1"/>
  <c r="J6" i="8" s="1"/>
  <c r="Q20" i="8"/>
  <c r="S20" i="8" s="1"/>
  <c r="T20" i="8" s="1"/>
  <c r="U20" i="8" s="1"/>
  <c r="O20" i="8"/>
  <c r="N20" i="8"/>
  <c r="M20" i="8"/>
  <c r="H20" i="8"/>
  <c r="K20" i="8" s="1"/>
  <c r="L20" i="8" s="1"/>
  <c r="I20" i="8" s="1"/>
  <c r="J20" i="8" s="1"/>
  <c r="Q17" i="8"/>
  <c r="S17" i="8" s="1"/>
  <c r="T17" i="8" s="1"/>
  <c r="U17" i="8" s="1"/>
  <c r="O17" i="8"/>
  <c r="N17" i="8"/>
  <c r="M17" i="8"/>
  <c r="H17" i="8"/>
  <c r="K17" i="8" s="1"/>
  <c r="L17" i="8" s="1"/>
  <c r="I17" i="8" s="1"/>
  <c r="J17" i="8" s="1"/>
  <c r="Q16" i="8"/>
  <c r="S16" i="8" s="1"/>
  <c r="T16" i="8" s="1"/>
  <c r="U16" i="8" s="1"/>
  <c r="O16" i="8"/>
  <c r="N16" i="8"/>
  <c r="M16" i="8"/>
  <c r="H16" i="8"/>
  <c r="K16" i="8" s="1"/>
  <c r="L16" i="8" s="1"/>
  <c r="I16" i="8" s="1"/>
  <c r="J16" i="8" s="1"/>
  <c r="Q26" i="8"/>
  <c r="S26" i="8" s="1"/>
  <c r="T26" i="8" s="1"/>
  <c r="U26" i="8" s="1"/>
  <c r="O26" i="8"/>
  <c r="N26" i="8"/>
  <c r="M26" i="8"/>
  <c r="H26" i="8"/>
  <c r="K26" i="8" s="1"/>
  <c r="L26" i="8" s="1"/>
  <c r="I26" i="8" s="1"/>
  <c r="J26" i="8" s="1"/>
  <c r="T9" i="8"/>
  <c r="U9" i="8" s="1"/>
  <c r="Q9" i="8"/>
  <c r="O9" i="8"/>
  <c r="N9" i="8"/>
  <c r="M9" i="8"/>
  <c r="H9" i="8"/>
  <c r="K9" i="8" s="1"/>
  <c r="L9" i="8" s="1"/>
  <c r="I9" i="8" s="1"/>
  <c r="J9" i="8" s="1"/>
  <c r="Q25" i="8"/>
  <c r="S25" i="8" s="1"/>
  <c r="T25" i="8" s="1"/>
  <c r="U25" i="8" s="1"/>
  <c r="O25" i="8"/>
  <c r="N25" i="8"/>
  <c r="M25" i="8"/>
  <c r="H25" i="8"/>
  <c r="K25" i="8" s="1"/>
  <c r="L25" i="8" s="1"/>
  <c r="I25" i="8" s="1"/>
  <c r="J25" i="8" s="1"/>
  <c r="Q24" i="8"/>
  <c r="S24" i="8" s="1"/>
  <c r="T24" i="8" s="1"/>
  <c r="U24" i="8" s="1"/>
  <c r="O24" i="8"/>
  <c r="N24" i="8"/>
  <c r="M24" i="8"/>
  <c r="H24" i="8"/>
  <c r="K24" i="8" s="1"/>
  <c r="L24" i="8" s="1"/>
  <c r="I24" i="8" s="1"/>
  <c r="J24" i="8" s="1"/>
  <c r="T8" i="8"/>
  <c r="U8" i="8" s="1"/>
  <c r="Q8" i="8"/>
  <c r="O8" i="8"/>
  <c r="N8" i="8"/>
  <c r="M8" i="8"/>
  <c r="H8" i="8"/>
  <c r="K8" i="8" s="1"/>
  <c r="L8" i="8" s="1"/>
  <c r="I8" i="8" s="1"/>
  <c r="J8" i="8" s="1"/>
  <c r="H31" i="8"/>
  <c r="K31" i="8" s="1"/>
  <c r="L31" i="8" s="1"/>
  <c r="I31" i="8" s="1"/>
  <c r="J31" i="8" s="1"/>
  <c r="Q18" i="8"/>
  <c r="S18" i="8" s="1"/>
  <c r="T18" i="8" s="1"/>
  <c r="U18" i="8" s="1"/>
  <c r="O18" i="8"/>
  <c r="N18" i="8"/>
  <c r="M18" i="8"/>
  <c r="H18" i="8"/>
  <c r="K18" i="8" s="1"/>
  <c r="L18" i="8" s="1"/>
  <c r="I18" i="8" s="1"/>
  <c r="J18" i="8" s="1"/>
  <c r="Q31" i="8"/>
  <c r="S31" i="8" s="1"/>
  <c r="T31" i="8" s="1"/>
  <c r="U31" i="8" s="1"/>
  <c r="O31" i="8"/>
  <c r="N31" i="8"/>
  <c r="M31" i="8"/>
  <c r="Q23" i="8"/>
  <c r="S23" i="8" s="1"/>
  <c r="T23" i="8" s="1"/>
  <c r="U23" i="8" s="1"/>
  <c r="O23" i="8"/>
  <c r="N23" i="8"/>
  <c r="M23" i="8"/>
  <c r="H23" i="8"/>
  <c r="K23" i="8" s="1"/>
  <c r="L23" i="8" s="1"/>
  <c r="I23" i="8" s="1"/>
  <c r="J23" i="8" s="1"/>
  <c r="T5" i="8"/>
  <c r="U5" i="8" s="1"/>
  <c r="Q5" i="8"/>
  <c r="O5" i="8"/>
  <c r="N5" i="8"/>
  <c r="M5" i="8"/>
  <c r="H5" i="8"/>
  <c r="K5" i="8" s="1"/>
  <c r="L5" i="8" s="1"/>
  <c r="I5" i="8" s="1"/>
  <c r="J5" i="8" s="1"/>
  <c r="T3" i="8"/>
  <c r="U3" i="8" s="1"/>
  <c r="Q3" i="8"/>
  <c r="O3" i="8"/>
  <c r="N3" i="8"/>
  <c r="M3" i="8"/>
  <c r="H3" i="8"/>
  <c r="K3" i="8" s="1"/>
  <c r="L3" i="8" s="1"/>
  <c r="I3" i="8" s="1"/>
  <c r="J3" i="8" s="1"/>
  <c r="Q15" i="8"/>
  <c r="S15" i="8" s="1"/>
  <c r="T15" i="8" s="1"/>
  <c r="U15" i="8" s="1"/>
  <c r="O15" i="8"/>
  <c r="N15" i="8"/>
  <c r="M15" i="8"/>
  <c r="H15" i="8"/>
  <c r="K15" i="8" s="1"/>
  <c r="L15" i="8" s="1"/>
  <c r="I15" i="8" s="1"/>
  <c r="J15" i="8" s="1"/>
  <c r="T4" i="8"/>
  <c r="U4" i="8" s="1"/>
  <c r="Q4" i="8"/>
  <c r="O4" i="8"/>
  <c r="N4" i="8"/>
  <c r="M4" i="8"/>
  <c r="H4" i="8"/>
  <c r="K4" i="8" s="1"/>
  <c r="L4" i="8" s="1"/>
  <c r="I4" i="8" s="1"/>
  <c r="J4" i="8" s="1"/>
  <c r="E52" i="8"/>
  <c r="D52" i="8" s="1"/>
  <c r="E53" i="8"/>
  <c r="D53" i="8" s="1"/>
  <c r="E54" i="8"/>
  <c r="D54" i="8" s="1"/>
  <c r="Q28" i="8"/>
  <c r="S28" i="8" s="1"/>
  <c r="T28" i="8" s="1"/>
  <c r="U28" i="8" s="1"/>
  <c r="O28" i="8"/>
  <c r="N28" i="8"/>
  <c r="M28" i="8"/>
  <c r="H28" i="8"/>
  <c r="K28" i="8" s="1"/>
  <c r="L28" i="8" s="1"/>
  <c r="I28" i="8" s="1"/>
  <c r="J28" i="8" s="1"/>
  <c r="Q27" i="8"/>
  <c r="S27" i="8" s="1"/>
  <c r="T27" i="8" s="1"/>
  <c r="U27" i="8" s="1"/>
  <c r="O27" i="8"/>
  <c r="N27" i="8"/>
  <c r="M27" i="8"/>
  <c r="H27" i="8"/>
  <c r="K27" i="8" s="1"/>
  <c r="L27" i="8" s="1"/>
  <c r="I27" i="8" s="1"/>
  <c r="J27" i="8" s="1"/>
  <c r="Q19" i="8"/>
  <c r="S19" i="8" s="1"/>
  <c r="T19" i="8" s="1"/>
  <c r="U19" i="8" s="1"/>
  <c r="O19" i="8"/>
  <c r="N19" i="8"/>
  <c r="M19" i="8"/>
  <c r="H19" i="8"/>
  <c r="K19" i="8" s="1"/>
  <c r="L19" i="8" s="1"/>
  <c r="I19" i="8" s="1"/>
  <c r="J19" i="8" s="1"/>
  <c r="H10" i="8"/>
  <c r="H11" i="8"/>
  <c r="H12" i="8"/>
  <c r="K12" i="8" s="1"/>
  <c r="L12" i="8" s="1"/>
  <c r="I12" i="8" s="1"/>
  <c r="J12" i="8" s="1"/>
  <c r="M10" i="8"/>
  <c r="M11" i="8"/>
  <c r="M12" i="8"/>
  <c r="N10" i="8"/>
  <c r="N11" i="8"/>
  <c r="N12" i="8"/>
  <c r="O10" i="8"/>
  <c r="O11" i="8"/>
  <c r="O12" i="8"/>
  <c r="T10" i="8"/>
  <c r="Q12" i="8"/>
  <c r="S12" i="8" s="1"/>
  <c r="T12" i="8" s="1"/>
  <c r="U12" i="8" s="1"/>
  <c r="E59" i="8"/>
  <c r="D59" i="8" s="1"/>
  <c r="E58" i="8"/>
  <c r="D58" i="8" s="1"/>
  <c r="E57" i="8"/>
  <c r="D57" i="8" s="1"/>
  <c r="E56" i="8"/>
  <c r="D56" i="8" s="1"/>
  <c r="E55" i="8"/>
  <c r="D55" i="8" s="1"/>
  <c r="E51" i="8"/>
  <c r="D51" i="8" s="1"/>
  <c r="F40" i="8"/>
  <c r="D40" i="8"/>
  <c r="E60" i="8" l="1"/>
  <c r="D60" i="8" s="1"/>
  <c r="E61" i="8"/>
  <c r="D61" i="8" s="1"/>
  <c r="C62" i="8" l="1"/>
  <c r="Q10" i="8" l="1"/>
  <c r="U10" i="8" s="1"/>
  <c r="K10" i="8"/>
  <c r="L10" i="8" s="1"/>
  <c r="I10" i="8" s="1"/>
  <c r="J10" i="8" s="1"/>
  <c r="K11" i="8" l="1"/>
  <c r="L11" i="8" s="1"/>
  <c r="I11" i="8" s="1"/>
  <c r="J11" i="8" s="1"/>
  <c r="Q11" i="8"/>
  <c r="S11" i="8" s="1"/>
  <c r="T11" i="8" s="1"/>
  <c r="U11" i="8" s="1"/>
  <c r="D62" i="8" l="1"/>
  <c r="E43" i="8" l="1"/>
  <c r="H43" i="8" l="1"/>
  <c r="B37" i="12" l="1"/>
  <c r="B26" i="12"/>
  <c r="B5" i="12"/>
  <c r="B28" i="12"/>
  <c r="B9" i="12"/>
  <c r="B8" i="12" l="1"/>
  <c r="B36" i="12"/>
  <c r="B27" i="12"/>
  <c r="B24" i="12"/>
  <c r="B38" i="12"/>
  <c r="B10" i="12"/>
  <c r="B7" i="12"/>
  <c r="B23" i="12"/>
  <c r="E42" i="12"/>
  <c r="B6" i="12"/>
  <c r="B25" i="12"/>
  <c r="E31" i="12"/>
  <c r="E9" i="12"/>
  <c r="E23" i="12"/>
  <c r="E7" i="12"/>
  <c r="E47" i="12"/>
  <c r="E6" i="12"/>
  <c r="E28" i="12"/>
  <c r="E46" i="12"/>
  <c r="E13" i="12"/>
  <c r="E27" i="12"/>
  <c r="E37" i="12"/>
  <c r="E12" i="12"/>
  <c r="E22" i="12"/>
  <c r="E26" i="12"/>
  <c r="E44" i="12"/>
  <c r="E41" i="12"/>
  <c r="E4" i="12"/>
  <c r="E30" i="12"/>
  <c r="E36" i="12"/>
  <c r="E40" i="12"/>
  <c r="E14" i="12"/>
  <c r="E38" i="12"/>
  <c r="E5" i="12"/>
  <c r="E45" i="12"/>
  <c r="E11" i="12"/>
  <c r="E33" i="12"/>
  <c r="E25" i="12"/>
  <c r="E43" i="12"/>
  <c r="E8" i="12"/>
  <c r="E15" i="12"/>
  <c r="E29" i="12"/>
  <c r="E39" i="12"/>
  <c r="E10" i="12"/>
  <c r="E32" i="12"/>
  <c r="E24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BF88FC-59E1-459C-8AC5-933CAD274C81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<sst xmlns="http://schemas.openxmlformats.org/spreadsheetml/2006/main" count="3347" uniqueCount="1383">
  <si>
    <t>CÓDIGO:</t>
  </si>
  <si>
    <t>DESCRIÇÃO:</t>
  </si>
  <si>
    <t>PESO:</t>
  </si>
  <si>
    <t>CONSUMO MP [KG]</t>
  </si>
  <si>
    <t>STATUS</t>
  </si>
  <si>
    <t xml:space="preserve"> </t>
  </si>
  <si>
    <t>ATIVO</t>
  </si>
  <si>
    <t>ANEL DA FLANGE C/ FURO</t>
  </si>
  <si>
    <t>ANEL DA FLANGE C/ FURO E ROSCA</t>
  </si>
  <si>
    <t>ANEL DA FLANGE C/ FURO E ROSCA OXIDADO</t>
  </si>
  <si>
    <t>APARAS E PONTAS DE COBRE</t>
  </si>
  <si>
    <t>APARAS E PONTAS DE LATAO</t>
  </si>
  <si>
    <t>BLANK CHAPA CORTADA</t>
  </si>
  <si>
    <t>BLANK DE CHAPA N/S 105MM E 146MM</t>
  </si>
  <si>
    <t/>
  </si>
  <si>
    <t>INATIVO</t>
  </si>
  <si>
    <t>BLANK DE CHAPA N/S 105MM E 146MM EM KG</t>
  </si>
  <si>
    <t>BLANK HASTE AT</t>
  </si>
  <si>
    <t>BLANK PINO CONDUTOR AT</t>
  </si>
  <si>
    <t>BLANK PINO CONDUTOR AT IMP</t>
  </si>
  <si>
    <t>BLANK PRENSA CABO AT</t>
  </si>
  <si>
    <t>BLANK PRENSA CABO AT IMP</t>
  </si>
  <si>
    <t>BLANK PRENSA CABO BT 160A</t>
  </si>
  <si>
    <t>BLANK PRENSA CABO BT 160A IMP</t>
  </si>
  <si>
    <t>BLANK PRENSA CABO BT 400A</t>
  </si>
  <si>
    <t>BLANK PRENSA CABO BT 400A IMP</t>
  </si>
  <si>
    <t>BLANK TERMINAL 160A SPADE</t>
  </si>
  <si>
    <t>BLANK TERMINAL 160A SPADE IMP</t>
  </si>
  <si>
    <t>BLANK TERMINAL 160A GRAMPO</t>
  </si>
  <si>
    <t>BLANK TERMINAL 160A GRAMPO IMP</t>
  </si>
  <si>
    <t>BLANK TERMINAL 400A SPADE</t>
  </si>
  <si>
    <t>BLANK TERMINAL 400A SPADE IMP</t>
  </si>
  <si>
    <t>BLANK TERMINAL 400A GRAMPO</t>
  </si>
  <si>
    <t>BLANK TERMINAL 400A GRAMPO IMP</t>
  </si>
  <si>
    <t>BLANK TERMINAL 800A SPADE</t>
  </si>
  <si>
    <t>BLANK TERMINAL 800A SPADE IMP</t>
  </si>
  <si>
    <t>BLANK TERMINAL AT</t>
  </si>
  <si>
    <t>BLANK TERMINAL AT IMP</t>
  </si>
  <si>
    <t>BOBINA F.F. 1,50 X 47MM SAE 1006</t>
  </si>
  <si>
    <t>BOBINA F.F. X 37MM SAE 1006</t>
  </si>
  <si>
    <t>BOBINA F.F. X 94MM SAE 1006</t>
  </si>
  <si>
    <t>CABECA TERMINAL 160A GRAMPO</t>
  </si>
  <si>
    <t>CABECA TERMINAL 160A GRAMPO IMP</t>
  </si>
  <si>
    <t>CABECA TERMINAL 160A SPADE</t>
  </si>
  <si>
    <t>CABECA TERMINAL 160A SPADE IMP</t>
  </si>
  <si>
    <t>CABECA TERMINAL 400A SPADE</t>
  </si>
  <si>
    <t>CABECA TERMINAL 400A SPADE IMP</t>
  </si>
  <si>
    <t>CABECA TERMINAL 800A SPADE</t>
  </si>
  <si>
    <t>CABECA TERMINAL 800A SPADE IMP</t>
  </si>
  <si>
    <t>CABO COBRE 10 CAPAS 7 X 0,813MM</t>
  </si>
  <si>
    <t>CABO COBRE 12 CAPAS 7 X 0,85MM</t>
  </si>
  <si>
    <t>CABO COBRE 20 CAPAS 7 X 0,813MM</t>
  </si>
  <si>
    <t>CABO COBRE 30 CAPAS 7 X 0,813MM</t>
  </si>
  <si>
    <t>CABO COBRE 40 CAPAS 7 X 0,813MM</t>
  </si>
  <si>
    <t>CABO COBRE 6 CAPAS 7 X 0,85MM</t>
  </si>
  <si>
    <t>CAVACO E PO DE LATAO</t>
  </si>
  <si>
    <t>CONFECCAO DO GANCHO</t>
  </si>
  <si>
    <t>CONFECCAO PRESILHA</t>
  </si>
  <si>
    <t>CONFECCAO PRESILHA CHAPA NOVA</t>
  </si>
  <si>
    <t>CONFECCAO PRESILHA SUCATA</t>
  </si>
  <si>
    <t>FIO 3CP COBRE 2,7 X 5,5MM</t>
  </si>
  <si>
    <t>FIO ALUM. 3CP 2,0 X 4,0 NAC</t>
  </si>
  <si>
    <t>FIO ALUM. 3CP 2,0 X 4,0 IMP</t>
  </si>
  <si>
    <t>FIO ALUM. 3CP 2,5 X 4,5 NAC</t>
  </si>
  <si>
    <t>FIO ALUM. 3CP 2,5 X 3,7 IMP</t>
  </si>
  <si>
    <t>FIO ALUM. 3CP 2,7 X 9,0 NAC</t>
  </si>
  <si>
    <t>FIO ALUM. 3CP 2,7 X 9,0 IMP</t>
  </si>
  <si>
    <t>FIO ALUM. 3CP 3,0 X 10,0 NAC</t>
  </si>
  <si>
    <t>FIO ALUM. 3CP 3,0 X 11,3 NAC</t>
  </si>
  <si>
    <t>FIO ALUM. 3CP 3,0 X 12,0 NAC</t>
  </si>
  <si>
    <t>FIO ALUM. 3CP 3,0 X 4,0 NAC</t>
  </si>
  <si>
    <t>FIO ALUM. 3CP 3,0 X 4,5 NAC</t>
  </si>
  <si>
    <t>FIO ALUM. 3CP 3,0 X 5,0 NAC</t>
  </si>
  <si>
    <t>FIO ALUM. 3CP 3,0 X 6,0 NAC</t>
  </si>
  <si>
    <t>FIO ALUM. 3CP 3,0 X 6,5 NAC</t>
  </si>
  <si>
    <t>FIO ALUM. 3CP 3,0 X 7,0 NAC</t>
  </si>
  <si>
    <t>FIO ALUM. 3CP 3,0 X 8,0 NAC</t>
  </si>
  <si>
    <t>FIO ALUM. 3CP 3,0 X 9,0 NAC</t>
  </si>
  <si>
    <t>FIO ALUM. 3CP 3,0 X 9,5 NAC</t>
  </si>
  <si>
    <t>FIO ALUM. 3CP 3,0 X 10,0 IMP</t>
  </si>
  <si>
    <t>FIO ALUM. 3CP 3,0 X 11,3 IMP</t>
  </si>
  <si>
    <t>FIO ALUM. 3CP 3,0 X 12,0 IMP</t>
  </si>
  <si>
    <t>FIO ALUM. 3CP 3,0 X 4,0 IMP</t>
  </si>
  <si>
    <t>FIO ALUM. 3CP 3,0 X 4,5 IMP</t>
  </si>
  <si>
    <t>FIO ALUM. 3CP 3,0 X 5,0 IMP</t>
  </si>
  <si>
    <t>FIO ALUM. 3CP 3,0 X 6,0 IMP</t>
  </si>
  <si>
    <t>FIO ALUM. 3CP 3,0 X 6,5 IMP</t>
  </si>
  <si>
    <t>FIO ALUM. 3CP 3,0 X 7,0 IMP</t>
  </si>
  <si>
    <t>FIO ALUM. 3CP 3,0 X 8,0 IMP</t>
  </si>
  <si>
    <t>FIO ALUM. 3CP 3,0 X 9,0 IMP</t>
  </si>
  <si>
    <t>FIO ALUM. 3CP 3,2 X 4,5 NAC</t>
  </si>
  <si>
    <t>FIO ALUM. 3CP 3,2 X 7,0 NAC</t>
  </si>
  <si>
    <t>FIO ALUM. 3CP 3,2 X 7,0 IMP</t>
  </si>
  <si>
    <t>FIO ALUM. 3CP 3,5 X 10,0 NAC</t>
  </si>
  <si>
    <t>FIO ALUM. 3CP 3,5 X 4,0 NAC</t>
  </si>
  <si>
    <t>FIO ALUM. 3CP 3,5 X 5,0 NAC</t>
  </si>
  <si>
    <t>FIO ALUM. 3CP 3,5 X 6,0 NAC</t>
  </si>
  <si>
    <t>FIO ALUM. 3CP 3,5 X 6,5 NAC</t>
  </si>
  <si>
    <t>FIO ALUM. 3CP 3,5 X 7,0 NAC</t>
  </si>
  <si>
    <t>FIO ALUM. 3CP 3,5 X 10,0 IMP</t>
  </si>
  <si>
    <t>FIO ALUM. 3CP 3,5 X 4,0 IMP</t>
  </si>
  <si>
    <t>FIO ALUM. 3CP 3,5 X 4,5 IMP</t>
  </si>
  <si>
    <t>FIO ALUM. 3CP 3,5 X 5,0 IMP</t>
  </si>
  <si>
    <t>FIO ALUM. 3CP 3,5 X 5,5 IMP</t>
  </si>
  <si>
    <t>FIO ALUM. 3CP 3,5 X 6,0 IMP</t>
  </si>
  <si>
    <t>FIO ALUM. 3CP 3,5 X 6,5 IMP</t>
  </si>
  <si>
    <t>FIO ALUM. 3CP 3,5 X 7,0 IMP</t>
  </si>
  <si>
    <t>FIO ALUM. 3CP 3,7 X 5,0 NAC</t>
  </si>
  <si>
    <t>FIO ALUM. 3CP 3,7 X 7,0 NAC</t>
  </si>
  <si>
    <t>FIO ALUM. 3CP 3,7 X 4,2 IMP</t>
  </si>
  <si>
    <t>FIO ALUM. 3CP 3,7 X 5,0 IMP</t>
  </si>
  <si>
    <t>FIO ALUM. 3CP 3,7 X 7,0 IMP</t>
  </si>
  <si>
    <t>FIO ALUM. 3CP 4,0 X 10,0 NAC</t>
  </si>
  <si>
    <t>FIO ALUM. 3CP 4,0 X 12,0 NAC</t>
  </si>
  <si>
    <t>FIO ALUM. 3CP 4,0 X 4,7 NAC</t>
  </si>
  <si>
    <t>FIO ALUM. 3CP 4,0 X 5,0 NAC</t>
  </si>
  <si>
    <t>FIO ALUM. 3CP 4,0 X 6,0 NAC</t>
  </si>
  <si>
    <t>FIO ALUM. 3CP 4,0 X 6,5 NAC</t>
  </si>
  <si>
    <t>FIO ALUM. 3CP 4,0 X 7,0 NAC</t>
  </si>
  <si>
    <t>FIO ALUM. 3CP 4,0 X 7,5 NAC</t>
  </si>
  <si>
    <t>FIO ALUM. 3CP 4,0 X 8,0 NAC</t>
  </si>
  <si>
    <t>FIO ALUM. 3CP 4,0 X 9,0 NAC</t>
  </si>
  <si>
    <t>FIO ALUM. 3CP 4,0 X 10,0 IMP</t>
  </si>
  <si>
    <t>FIO ALUM. 3CP 4,0 X 12,0 IMP</t>
  </si>
  <si>
    <t>FIO ALUM. 3CP 4,0 X 5,0 IMP</t>
  </si>
  <si>
    <t>FIO ALUM. 3CP 4,0 X 6,0 IMP</t>
  </si>
  <si>
    <t>FIO ALUM. 3CP 4,0 X 6,5 IMP</t>
  </si>
  <si>
    <t>FIO ALUM. 3CP 4,0 X 7,0 IMP</t>
  </si>
  <si>
    <t>FIO ALUM. 3CP 4,0 X 7,5 IMP</t>
  </si>
  <si>
    <t>FIO ALUM. 3CP 4,0 X 8,0 IMP</t>
  </si>
  <si>
    <t>FIO ALUM. 3CP 4,0 X 9,0 IMP</t>
  </si>
  <si>
    <t>FIO ALUM. 3CP 4,0 X 9,5 IMP</t>
  </si>
  <si>
    <t>FIO ALUM. 3CP 4,5 X 5,0 NAC</t>
  </si>
  <si>
    <t>FIO ALUM. 3CP 4,5 X 6,0 NAC</t>
  </si>
  <si>
    <t>FIO ALUM. 3CP 4,5 X 6,5 NAC</t>
  </si>
  <si>
    <t>FIO ALUM. 3CP 4,5 X 7,0 NAC</t>
  </si>
  <si>
    <t>FIO ALUM. 3CP 4,5 X 7,5 NAC</t>
  </si>
  <si>
    <t>FIO ALUM. 3CP 4,5 X 8,0 NAC</t>
  </si>
  <si>
    <t>FIO ALUM. 3CP 4,5 X 5,0 IMP</t>
  </si>
  <si>
    <t>FIO ALUM. 3CP 4,5 X 5,5 IMP</t>
  </si>
  <si>
    <t>FIO ALUM. 3CP 4,5 X 6,0 IMP</t>
  </si>
  <si>
    <t>FIO ALUM. 3CP 4,5 X 6,5 IMP</t>
  </si>
  <si>
    <t>FIO ALUM. 3CP 4,5 X 7,0 IMP</t>
  </si>
  <si>
    <t>FIO ALUM. 3CP 4,5 X 7,5 IMP</t>
  </si>
  <si>
    <t>FIO ALUM. 3CP 4,5 X 8,0 IMP</t>
  </si>
  <si>
    <t>FIO ALUM. 3CP 4,5 X 8,5 IMP</t>
  </si>
  <si>
    <t>FIO ALUM. 3CP 5,0 X 10,0 NAC</t>
  </si>
  <si>
    <t>FIO ALUM. 3CP 5,0 X 12,0 NAC</t>
  </si>
  <si>
    <t>FIO ALUM. 3CP 5,0 X 5,5 NAC</t>
  </si>
  <si>
    <t>FIO ALUM. 3CP 5,0 X 6,0 NAC</t>
  </si>
  <si>
    <t>FIO ALUM. 3CP 5,0 X 6,5 NAC</t>
  </si>
  <si>
    <t>FIO ALUM. 3CP 5,0 X 7,0 NAC</t>
  </si>
  <si>
    <t>FIO ALUM. 3CP 5,0 X 8,0 NAC</t>
  </si>
  <si>
    <t>FIO ALUM. 3CP 5,0 X 9,0 NAC</t>
  </si>
  <si>
    <t>FIO ALUM. 3CP 5,0 X 10,0 IMP</t>
  </si>
  <si>
    <t>FIO ALUM. 3CP 5,0 X 12,0 IMP</t>
  </si>
  <si>
    <t>FIO ALUM. 3CP 5,0 X 5,5 IMP</t>
  </si>
  <si>
    <t>FIO ALUM. 3CP 5,0 X 6,0 IMP</t>
  </si>
  <si>
    <t>FIO ALUM. 3CP 5,0 X 6,5 IMP</t>
  </si>
  <si>
    <t>FIO ALUM. 3CP 5,0 X 7,0 IMP</t>
  </si>
  <si>
    <t>FIO ALUM. 3CP 5,0 X 8,0 IMP</t>
  </si>
  <si>
    <t>FIO ALUM. 3CP 5,0 X 9,0 IMP</t>
  </si>
  <si>
    <t>FIO ALUM. 3CP 5,5 X 6,0 NAC</t>
  </si>
  <si>
    <t>FIO ALUM. 3CP 5,5 X 6,5 NAC</t>
  </si>
  <si>
    <t>FIO ALUM. 3CP 5,5 X 7,0 NAC</t>
  </si>
  <si>
    <t>FIO ALUM. 3CP 5,5 X 7,5 NAC</t>
  </si>
  <si>
    <t>FIO ALUM. 3CP 5,5 X 8,5 NAC</t>
  </si>
  <si>
    <t>FIO ALUM. 3CP 5,5 X 6,0 IMP</t>
  </si>
  <si>
    <t>FIO ALUM. 3CP 5,5 X 6,2IMP</t>
  </si>
  <si>
    <t>FIO ALUM. 3CP 5,5 X 6,5 IMP</t>
  </si>
  <si>
    <t>FIO ALUM. 3CP 5,5 X 7,0 IMP</t>
  </si>
  <si>
    <t>FIO ALUM. 3CP 5,5 X 8,0 IMP</t>
  </si>
  <si>
    <t>FIO ALUM. 3CP 5,5 X 8,5 IMP</t>
  </si>
  <si>
    <t>FIO ALUM. 3CP 5,5 X 9,0 IMP</t>
  </si>
  <si>
    <t>FIO ALUM. 3CP 6,0 X 8,0 NAC</t>
  </si>
  <si>
    <t>FIO ALUM. 3CP 6,0 X 7,0 IMP</t>
  </si>
  <si>
    <t>FIO ALUM. 3CP 6,0 X 7,5 IMP</t>
  </si>
  <si>
    <t>FIO ALUM. 3CP 6,0 X 8,0 IMP</t>
  </si>
  <si>
    <t>FIO ALUM. 3CP 6,5 X 8,5 NAC</t>
  </si>
  <si>
    <t>FIO ALUM. 3CP 6,5 X 8,5 IMP</t>
  </si>
  <si>
    <t>FIO ALUM. 3CP 7,0 X 10,0 NAC</t>
  </si>
  <si>
    <t>FIO ALUM. 3CP 7,0 X 8,0 NAC</t>
  </si>
  <si>
    <t>FIO ALUM. 3CP 7,0 X 10,0 IMP</t>
  </si>
  <si>
    <t>FIO ALUM. 3CP 7,0 X 8,0 IMP</t>
  </si>
  <si>
    <t>FIO ALUM. 4CP 2,0 X 4,0 NAC</t>
  </si>
  <si>
    <t>FIO ALUM. 4CP 2,0 X 11,0 IMP</t>
  </si>
  <si>
    <t>FIO ALUM. 4CP 2,0 X 12,0 IMP</t>
  </si>
  <si>
    <t>FIO ALUM. 4CP 2,0 X 4,0 IMP</t>
  </si>
  <si>
    <t>FIO ALUM. 4CP 2,0 X 9,0 IMP</t>
  </si>
  <si>
    <t>FIO ALUM. 4CP 2,5 X 4,0 IMP</t>
  </si>
  <si>
    <t>FIO ALUM. 4CP 3,0 X 6,5 NAC</t>
  </si>
  <si>
    <t>FIO ALUM. 4CP 3,0 X 10,0 IMP</t>
  </si>
  <si>
    <t>FIO ALUM. 4CP 3,0 X 11,3 IMP</t>
  </si>
  <si>
    <t>FIO ALUM. 4CP 3,0 X 4,0 IMP</t>
  </si>
  <si>
    <t>FIO ALUM. 4CP 3,0 X 5,0 IMP</t>
  </si>
  <si>
    <t>FIO ALUM. 4CP 3,5 X 5,0 IMP</t>
  </si>
  <si>
    <t>FIO ALUM. 4CP 3,5 X 6,5 IMP</t>
  </si>
  <si>
    <t>FIO ALUM. 4CP 4,0 X 6,0 IMP</t>
  </si>
  <si>
    <t>FIO ALUM. 4CP 4,0 X 8,0 IMP</t>
  </si>
  <si>
    <t>FIO ALUM. 4CP 4,5 X 8,5 IMP</t>
  </si>
  <si>
    <t>FIO ALUM. 4CP 5,0 X 11,0 IMP</t>
  </si>
  <si>
    <t>FIO ALUM. 4CP 5,5 X 6,0 IMP</t>
  </si>
  <si>
    <t>FIO ALUM. 5CP 3,0 X 5,0 NAC</t>
  </si>
  <si>
    <t>FIO ALUM. 5CP 3,0 X 6,0 NAC</t>
  </si>
  <si>
    <t>FIO ALUM. 5CP 3,5 X 6,0 NAC</t>
  </si>
  <si>
    <t>FIO ALUM. 5CP 4,0 X 5,0 NAC</t>
  </si>
  <si>
    <t>FIO ALUM. 5CP 5,0 X 10,0 NAC</t>
  </si>
  <si>
    <t>FIO ALUM. NU 2,0 X 4,0 NAC</t>
  </si>
  <si>
    <t>FIO ALUM. NU 2,0 X 11,0 IMP</t>
  </si>
  <si>
    <t>FIO ALUM. NU 2,0 X 12,0 IMP</t>
  </si>
  <si>
    <t>FIO ALUM. NU 2,0 X 4,0 IMP</t>
  </si>
  <si>
    <t>FIO ALUM. NU 2,0 X 9,0 IMP</t>
  </si>
  <si>
    <t>FIO ALUM. NU 2,5 X 3,7 NAC</t>
  </si>
  <si>
    <t>FIO ALUM. NU 2,5 X 4,5 NAC</t>
  </si>
  <si>
    <t>FIO ALUM. NU 2,5 X 3,7 IMP</t>
  </si>
  <si>
    <t>FIO ALUM. NU 2,5 X 4,0 IMP</t>
  </si>
  <si>
    <t>FIO ALUM. NU 2,5 X 4,5 IMP</t>
  </si>
  <si>
    <t>FIO ALUM. NU 2,7 X 9,0 NAC</t>
  </si>
  <si>
    <t>FIO ALUM. NU 2,7 X 9,0 IMP</t>
  </si>
  <si>
    <t>FIO ALUM. NU 2,85 X 4,0 NAC</t>
  </si>
  <si>
    <t>FIO ALUM. NU 3,0 X 10,0 NAC</t>
  </si>
  <si>
    <t>FIO ALUM. NU 3,0 X 11,3 NAC</t>
  </si>
  <si>
    <t>FIO ALUM. NU 3,0 X 12,0 NAC</t>
  </si>
  <si>
    <t>FIO ALUM. NU 3,0 X 4,0 NAC</t>
  </si>
  <si>
    <t>FIO ALUM. NU 3,0 X 4,5 NAC</t>
  </si>
  <si>
    <t>FIO ALUM. NU 3,0 X 5,0 NAC</t>
  </si>
  <si>
    <t>FIO ALUM. NU 3,0 X 6,0 NAC</t>
  </si>
  <si>
    <t>FIO ALUM. NU 3,0 X 6,5 NAC</t>
  </si>
  <si>
    <t>FIO ALUM. NU 3,0 X 7,0 NAC</t>
  </si>
  <si>
    <t>FIO ALUM. NU 3,0 X 8,0 NAC</t>
  </si>
  <si>
    <t>FIO ALUM. NU 3,0 X 9,0 NAC</t>
  </si>
  <si>
    <t>FIO ALUM. NU 3,0 X 9,5 NAC</t>
  </si>
  <si>
    <t>FIO ALUM. NU 3,0 X 10,0 IMP</t>
  </si>
  <si>
    <t>FIO ALUM. NU 3,0 X 11,3 IMP</t>
  </si>
  <si>
    <t>FIO ALUM. NU 3,0 X 12,0 IMP</t>
  </si>
  <si>
    <t>FIO ALUM. NU 3,0 X 4,0 IMP</t>
  </si>
  <si>
    <t>FIO ALUM. NU 3,0 X 4,5 IMP</t>
  </si>
  <si>
    <t>FIO ALUM. NU 3,0 X 5,0 IMP</t>
  </si>
  <si>
    <t>FIO ALUM. NU 3,0 X 6,0 IMP</t>
  </si>
  <si>
    <t>FIO ALUM. NU 3,0 X 6,5 IMP</t>
  </si>
  <si>
    <t>FIO ALUM. NU 3,0 X 7,0 IMP</t>
  </si>
  <si>
    <t>FIO ALUM. NU 3,0 X 8,0 IMP</t>
  </si>
  <si>
    <t>FIO ALUM. NU 3,0 X 9,0 IMP</t>
  </si>
  <si>
    <t>FIO ALUM. NU 3,2 X 4,5 NAC</t>
  </si>
  <si>
    <t>FIO ALUM. NU 3,2 X 7,0 NAC</t>
  </si>
  <si>
    <t>FIO ALUM. NU 3,2 X 4,5 IMP</t>
  </si>
  <si>
    <t>FIO ALUM. NU 3,2 X 7,0 IMP</t>
  </si>
  <si>
    <t>FIO ALUM. NU 3,5 X 10,0 NAC</t>
  </si>
  <si>
    <t>FIO ALUM. NU 3,5 X 4,0 NAC</t>
  </si>
  <si>
    <t>FIO ALUM. NU 3,5 X 5,0 NAC</t>
  </si>
  <si>
    <t>FIO ALUM. NU 3,5 X 6,0 NAC</t>
  </si>
  <si>
    <t>FIO ALUM. NU 3,5 X 6,5 NAC</t>
  </si>
  <si>
    <t>FIO ALUM. NU 3,5 X 7,0 NAC</t>
  </si>
  <si>
    <t>FIO ALUM. NU 3,5 X 10,0 IMP</t>
  </si>
  <si>
    <t>FIO ALUM. NU 3,5 X 4,0 IMP</t>
  </si>
  <si>
    <t>FIO ALUM. NU 3,5 X 4,5 IMP</t>
  </si>
  <si>
    <t>FIO ALUM. NU 3,5 X 5,0 IMP</t>
  </si>
  <si>
    <t>FIO ALUM. NU 3,5 X 5,5 IMP</t>
  </si>
  <si>
    <t>FIO ALUM. NU 3,5 X 6,0 IMP</t>
  </si>
  <si>
    <t>FIO ALUM. NU 3,5 X 6,5 IMP</t>
  </si>
  <si>
    <t>FIO ALUM. NU 3,5 X 7,0 IMP</t>
  </si>
  <si>
    <t>FIO ALUM. NU 3,7 X 5,0 NAC</t>
  </si>
  <si>
    <t>FIO ALUM. NU 3,7 X 7,0 NAC</t>
  </si>
  <si>
    <t>FIO ALUM. NU 3,7 X 4,2 IMP</t>
  </si>
  <si>
    <t>FIO ALUM. NU 3,7 X 5,0 IMP</t>
  </si>
  <si>
    <t>FIO ALUM. NU 3,7 X 7,0 IMP</t>
  </si>
  <si>
    <t>FIO ALUM. NU 4,0 X 10,0 NAC</t>
  </si>
  <si>
    <t>FIO ALUM. NU 4,0 X 12,0 NAC</t>
  </si>
  <si>
    <t>FIO ALUM. NU 4,0 X 4,5 NAC</t>
  </si>
  <si>
    <t>FIO ALUM. NU 4,0 X 4,7 NAC</t>
  </si>
  <si>
    <t>FIO ALUM. NU 4,0 X 5,0 NAC</t>
  </si>
  <si>
    <t>FIO ALUM. NU 4,0 X 5,5 NAC</t>
  </si>
  <si>
    <t>FIO ALUM. NU 4,0 X 6,0 NAC</t>
  </si>
  <si>
    <t>FIO ALUM. NU 4,0 X 6,5 NAC</t>
  </si>
  <si>
    <t>FIO ALUM. NU 4,0 X 7,0 NAC</t>
  </si>
  <si>
    <t>FIO ALUM. NU 4,0 X 7,5 NAC</t>
  </si>
  <si>
    <t>FIO ALUM. NU 4,0 X 8,0 NAC</t>
  </si>
  <si>
    <t>FIO ALUM. NU 4,0 X 9,0 NAC</t>
  </si>
  <si>
    <t>FIO ALUM. NU 4,0 X 10,0 IMP</t>
  </si>
  <si>
    <t>FIO ALUM. NU 4,0 X 12,0 IMP</t>
  </si>
  <si>
    <t>FIO ALUM. NU 4,0 X 5,0 IMP</t>
  </si>
  <si>
    <t>FIO ALUM. NU 4,0 X 5,5 IMP</t>
  </si>
  <si>
    <t>FIO ALUM. NU 4,0 X 6,0 IMP</t>
  </si>
  <si>
    <t>FIO ALUM. NU 4,0 X 6,5 IMP</t>
  </si>
  <si>
    <t>FIO ALUM. NU 4,0 X 7,0 IMP</t>
  </si>
  <si>
    <t>FIO ALUM. NU 4,0 X 7,5 IMP</t>
  </si>
  <si>
    <t>FIO ALUM. NU 4,0 X 8,0 IMP</t>
  </si>
  <si>
    <t>FIO ALUM. NU 4,0 X 9,0 IMP</t>
  </si>
  <si>
    <t>FIO ALUM. NU 4,0 X 9,5 IMP</t>
  </si>
  <si>
    <t>FIO ALUM. NU 4,2 X 8,8 NAC</t>
  </si>
  <si>
    <t>FIO ALUM. NU 4,5 X 5,0 NAC</t>
  </si>
  <si>
    <t>FIO ALUM. NU 4,5 X 6,0 NAC</t>
  </si>
  <si>
    <t>FIO ALUM. NU 4,5 X 6,5 NAC</t>
  </si>
  <si>
    <t>FIO ALUM. NU 4,5 X 7,0 NAC</t>
  </si>
  <si>
    <t>FIO ALUM. NU 4,5 X 7,5 NAC</t>
  </si>
  <si>
    <t>FIO ALUM. NU 4,5 X 8,0 NAC</t>
  </si>
  <si>
    <t>FIO ALUM. NU 4,5 X 8,5 NAC</t>
  </si>
  <si>
    <t>FIO ALUM. NU 4,5 X 9,3 NAC</t>
  </si>
  <si>
    <t>FIO ALUM. NU 4,5 X 5,0 IMP</t>
  </si>
  <si>
    <t>FIO ALUM. NU 4,5 X 5,5 IMP</t>
  </si>
  <si>
    <t>FIO ALUM. NU 4,5 X 6,0 IMP</t>
  </si>
  <si>
    <t>FIO ALUM. NU 4,5 X 6,5 IMP</t>
  </si>
  <si>
    <t>FIO ALUM. NU 4,5 X 7,0 IMP</t>
  </si>
  <si>
    <t>FIO ALUM. NU 4,5 X 7,5 IMP</t>
  </si>
  <si>
    <t>FIO ALUM. NU 4,5 X 8,0 IMP</t>
  </si>
  <si>
    <t>FIO ALUM. NU 4,5 X 8,5 IMP</t>
  </si>
  <si>
    <t>FIO ALUM. NU 4,5 X 9,3 IMP</t>
  </si>
  <si>
    <t>FIO ALUM. NU 5,0 X 10,0 NAC</t>
  </si>
  <si>
    <t>FIO ALUM. NU 5,0 X 11,0 NAC</t>
  </si>
  <si>
    <t>FIO ALUM. NU 5,0 X 12,0 NAC</t>
  </si>
  <si>
    <t>FIO ALUM. NU 5,0 X 5,5 NAC</t>
  </si>
  <si>
    <t>FIO ALUM. NU 5,0 X 6,0 NAC</t>
  </si>
  <si>
    <t>FIO ALUM. NU 5,0 X 6,5 NAC</t>
  </si>
  <si>
    <t>FIO ALUM. NU 5,0 X 7,0 NAC</t>
  </si>
  <si>
    <t>FIO ALUM. NU 5,0 X 7,5 NAC</t>
  </si>
  <si>
    <t>FIO ALUM. NU 5,0 X 8,0 NAC</t>
  </si>
  <si>
    <t>FIO ALUM. NU 5,0 X 8,5 NAC</t>
  </si>
  <si>
    <t>FIO ALUM. NU 5,0 X 9,0 NAC</t>
  </si>
  <si>
    <t>FIO ALUM. NU 5,0 X 10,0 IMP</t>
  </si>
  <si>
    <t>FIO ALUM. NU 5,0 X 11,0 IMP</t>
  </si>
  <si>
    <t>FIO ALUM. NU 5,0 X 12,0 IMP</t>
  </si>
  <si>
    <t>FIO ALUM. NU 5,0 X 5,5 IMP</t>
  </si>
  <si>
    <t>FIO ALUM. NU 5,0 X 6,0 IMP</t>
  </si>
  <si>
    <t>FIO ALUM. NU 5,0 X 6,5 IMP</t>
  </si>
  <si>
    <t>FIO ALUM. NU 5,0 X 7,0 IMP</t>
  </si>
  <si>
    <t>FIO ALUM. NU 5,0 X 7,5 IMP</t>
  </si>
  <si>
    <t>FIO ALUM. NU 5,0 X 8,0 IMP</t>
  </si>
  <si>
    <t>FIO ALUM. NU 5,0 X 8,5 IMP</t>
  </si>
  <si>
    <t>FIO ALUM. NU 5,0 X 9,0 IMP</t>
  </si>
  <si>
    <t>FIO ALUM. NU 5,5 X 6,0 NAC</t>
  </si>
  <si>
    <t>FIO ALUM. NU 5,5 X 6,2 NAC</t>
  </si>
  <si>
    <t>FIO ALUM. NU 5,5 X 6,5 NAC</t>
  </si>
  <si>
    <t>FIO ALUM. NU 5,5 X 7,0 NAC</t>
  </si>
  <si>
    <t>FIO ALUM. NU 5,5 X 7,5 NAC</t>
  </si>
  <si>
    <t>FIO ALUM. NU 5,5 X 8,0 NAC</t>
  </si>
  <si>
    <t>FIO ALUM. NU 5,5 X 8,5 NAC</t>
  </si>
  <si>
    <t>FIO ALUM. NU 5,5 X 9,0 IMP</t>
  </si>
  <si>
    <t>FIO ALUM. NU 5,5 X 6,0 IMP</t>
  </si>
  <si>
    <t>FIO ALUM. NU 5,5 X 6,2IMP</t>
  </si>
  <si>
    <t>FIO ALUM. NU 5,5 X 6,5 IMP</t>
  </si>
  <si>
    <t>FIO ALUM. NU 5,5 X 7,0 IMP</t>
  </si>
  <si>
    <t>FIO ALUM. NU 5,5 X 8,0 IMP</t>
  </si>
  <si>
    <t>FIO ALUM. NU 5,5 X 8,5 IMP</t>
  </si>
  <si>
    <t>FIO ALUM. NU 6,0 X 7,0 NAC</t>
  </si>
  <si>
    <t>FIO ALUM. NU 6,0 X 7,5 NAC</t>
  </si>
  <si>
    <t>FIO ALUM. NU 6,0 X 8,0 NAC</t>
  </si>
  <si>
    <t>FIO ALUM. NU 6,0 X 9,5 NAC</t>
  </si>
  <si>
    <t>FIO ALUM. NU 6,0 X 7,0 IMP</t>
  </si>
  <si>
    <t>FIO ALUM. NU 6,0 X 7,5 IMP</t>
  </si>
  <si>
    <t>FIO ALUM. NU 6,0 X 8,0 IMP</t>
  </si>
  <si>
    <t>FIO ALUM. NU 6,5 X 7,0 NAC</t>
  </si>
  <si>
    <t>FIO ALUM. NU 6,5 X 8,5 NAC</t>
  </si>
  <si>
    <t>FIO ALUM. NU 6,5 X 8,5 IMP</t>
  </si>
  <si>
    <t>FIO ALUM. NU 7,0 X 10,0 NAC</t>
  </si>
  <si>
    <t>FIO ALUM. NU 7,0 X 8,0 NAC</t>
  </si>
  <si>
    <t>FIO ALUM. NU 7,0 X 10,0 IMP</t>
  </si>
  <si>
    <t>FIO ALUM. NU 7,0 X 8,0 IMP</t>
  </si>
  <si>
    <t>FIO ALUMINIO 2,5 X 4,5MM (IMP)</t>
  </si>
  <si>
    <t>FIO ALUMINIO 3,0 X 4,0MM (IMP)</t>
  </si>
  <si>
    <t>FIO ALUMINIO 3,0 X 6,0MM (IMP)</t>
  </si>
  <si>
    <t>FIO ALUMINIO 3,0 X 6,5MM (IMP)</t>
  </si>
  <si>
    <t>FIO ALUMINIO 3,5 X 4,0MM (IMP)</t>
  </si>
  <si>
    <t>FIO ALUMINIO 3,5 X 6,0MM (IMP)</t>
  </si>
  <si>
    <t>FIO ALUMINIO 3,5 X 6,5MM (IMP)</t>
  </si>
  <si>
    <t>FIO ALUMINIO 3,5 X 7,0MM (IMP)</t>
  </si>
  <si>
    <t>FIO ALUMINIO 4,0 X 12MM (IMP)</t>
  </si>
  <si>
    <t>FIO ALUMINIO 4,0 X 5,0MM (IMP)</t>
  </si>
  <si>
    <t>FIO ALUMINIO 4,0 X 6,0MM (IMP)</t>
  </si>
  <si>
    <t>FIO ALUMINIO 4,0 X 7,0MM (IMP)</t>
  </si>
  <si>
    <t>FIO ALUMINIO 4,0 X 7,5MM (IMP)</t>
  </si>
  <si>
    <t>FIO ALUMINIO 4,0 X 9,0MM (IMP)</t>
  </si>
  <si>
    <t>FIO ALUMINIO 4,5 X 5,0MM (IMP)</t>
  </si>
  <si>
    <t>FIO ALUMINIO 4,5 X 6,0MM (IMP)</t>
  </si>
  <si>
    <t>FIO ALUMINIO 4,5 X 6,5MM (IMP)</t>
  </si>
  <si>
    <t>FIO ALUMINIO 4,5 X 7,5MM (IMP)</t>
  </si>
  <si>
    <t>FIO ALUMINIO 4,5 X 8,5MM (IMP)</t>
  </si>
  <si>
    <t>FIO ALUMINIO 5,0 X 10MM (IMP)</t>
  </si>
  <si>
    <t>FIO ALUMINIO 5,0 X 11,0MM (IMP)</t>
  </si>
  <si>
    <t>FIO ALUMINIO 5,0 X 12,0MM (IMP)</t>
  </si>
  <si>
    <t>FIO ALUMINIO 5,0 X 6,0MM (IMP)</t>
  </si>
  <si>
    <t>FIO ALUMINIO 5,0 X 6,5MM (IMP)</t>
  </si>
  <si>
    <t>FIO ALUMINIO 5,0 X 7,0MM (IMP)</t>
  </si>
  <si>
    <t>FIO ALUMINIO 5,0 X 8,5MM (IMP)</t>
  </si>
  <si>
    <t>FIO ALUMINIO 5,5 X 8,0 MM (IMP)</t>
  </si>
  <si>
    <t>FIO ALUMINIO 5,5 X 8,5MM (IMP)</t>
  </si>
  <si>
    <t>FIO ALUMINIO 6,0 X 7,5MM (IMP)</t>
  </si>
  <si>
    <t>FIO ALUMINIO 6,5 X 5,5MM (IMP)</t>
  </si>
  <si>
    <t>FIO ALUMINIO 6,5 X 8,5MM (IMP)</t>
  </si>
  <si>
    <t>FIO ALUMINIO 7,0 X 10,0MM (IMP)</t>
  </si>
  <si>
    <t>FIO ALUMINIO 7,0 X 6,0MM (IMP)</t>
  </si>
  <si>
    <t>FIO ALUMINIO 7,0 X 8,0 MM (IMP)</t>
  </si>
  <si>
    <t>FIO DE ALUMINIO 4,0 X 6,0 BR</t>
  </si>
  <si>
    <t>FIO DE ALUMINIO 4,0 X 9,0 BR</t>
  </si>
  <si>
    <t>FIO DE ALUMINIO 5,0 X 6,0 BR</t>
  </si>
  <si>
    <t>FIO DE ALUMINIO RETANGULAR BR</t>
  </si>
  <si>
    <t>FIO RET. DE COBRE ENCAP. 2,5 X 3,0MM C/ PAPEL</t>
  </si>
  <si>
    <t>FITA CHAPA 4,75MM 109MM X 2900MM</t>
  </si>
  <si>
    <t>FITA LARG. 76MM CHAPA NOVA 2,65MM</t>
  </si>
  <si>
    <t>FITA LARG. 76MM SUCATA 2,65MM</t>
  </si>
  <si>
    <t>GANCHO DE ICAMENTO</t>
  </si>
  <si>
    <t>KIT BT 400A GRAMPO AMT IMP - ISOL. NAC</t>
  </si>
  <si>
    <t>KIT BT 400A SPADE AMT IMP - ISOL. NAC</t>
  </si>
  <si>
    <t>KIT BUCHA AT 15KV T2 BR</t>
  </si>
  <si>
    <t>KIT BUCHA AT 15KV T2 C/FLANGE BR</t>
  </si>
  <si>
    <t>KIT BUCHA AT 25,8KV T2 BR</t>
  </si>
  <si>
    <t>KIT BUCHA AT 25KV T1 BR</t>
  </si>
  <si>
    <t>KIT BUCHA AT 25KV T1 C/FLANGE BR</t>
  </si>
  <si>
    <t>KIT BUCHA AT 25KV T1 C/FLANGE IMP</t>
  </si>
  <si>
    <t>KIT BUCHA AT 25KV T1 IMP</t>
  </si>
  <si>
    <t>KIT BUCHA AT 25KV T2 C/FLANGE BR</t>
  </si>
  <si>
    <t>KIT BUCHA AT 25KV T2 C/FLANGE IMP</t>
  </si>
  <si>
    <t>KIT BUCHA AT 25KV T2 NAC</t>
  </si>
  <si>
    <t>KIT BUCHA AT 36,2KV T1 12SAIAS BR</t>
  </si>
  <si>
    <t>KIT BUCHA AT 36,2KV T1 12SAIAS BR C/FLANGE</t>
  </si>
  <si>
    <t>KIT BUCHA AT 36KV T2 12SAIAS BR</t>
  </si>
  <si>
    <t>KIT BUCHA AT 36KV T2 12SAIAS BR C/FLANGE</t>
  </si>
  <si>
    <t>KIT BUCHA BT 1,3KV 160A BR</t>
  </si>
  <si>
    <t>KIT BUCHA BT 1,3KV 16A IMP CJ</t>
  </si>
  <si>
    <t>KIT BUCHA BT 1,3KV 400A GRAMPO BR</t>
  </si>
  <si>
    <t>KIT BUCHA BT 1,3KV 400A IMP</t>
  </si>
  <si>
    <t>KIT BUCHA BT 1,3KV 400A IMP CJ</t>
  </si>
  <si>
    <t>KIT BUCHA BT 1,3KV 800A BR</t>
  </si>
  <si>
    <t>KIT BUCHA BT 1,3KV 800A IMP CJ</t>
  </si>
  <si>
    <t>KIT COMP. BT 1,3KV 160A SPADE ISOL.IMP CJ - AMT</t>
  </si>
  <si>
    <t>KIT COMP. BT 160A GRAMPO  AMT</t>
  </si>
  <si>
    <t>KIT COMP. BT 160A GRAMPO  AMT IMP</t>
  </si>
  <si>
    <t>KIT COMP. BT 160A GRAMPO AMT -  ISOL. IMP. ACES.IM</t>
  </si>
  <si>
    <t>KIT COMP. BT 160A GRAMPO AMT - ISOL.IMP</t>
  </si>
  <si>
    <t>KIT COMP. BT 160A GRAMPO AMT BR - ACES.IMP</t>
  </si>
  <si>
    <t>KIT COMP. BT 160A GRAMPO INOX  AMT BR</t>
  </si>
  <si>
    <t>KIT COMP. BT 160A GRAMPO INOX  AMT IMP</t>
  </si>
  <si>
    <t>KIT COMP. BT 160A GRAMPO INOX  IND. BR</t>
  </si>
  <si>
    <t>KIT COMP. BT 160A GRAMPO INOX BR AMT -  ACESS.IMP</t>
  </si>
  <si>
    <t>KIT COMP. BT 160A SPADE AMT -  ISOL. IMP. ACES.IMP</t>
  </si>
  <si>
    <t>KIT COMP. BT 160A SPADE BR - AMT</t>
  </si>
  <si>
    <t>KIT COMP. BT 160A SPADE BR - AMT - ACESS.IMP</t>
  </si>
  <si>
    <t>KIT COMP. BT 160A SPADE BR - AMT IMP</t>
  </si>
  <si>
    <t>KIT COMP. BT 160A SPADE IND. BR</t>
  </si>
  <si>
    <t>KIT COMP. BT 400A GRAMPO - AMT IMP</t>
  </si>
  <si>
    <t>KIT COMP. BT 400A GRAMPO AMT - ISOL.IMP CJ</t>
  </si>
  <si>
    <t>KIT COMP. BT 400A GRAMPO BR - AMT</t>
  </si>
  <si>
    <t>KIT COMP. BT 400A GRAMPO BR - IND</t>
  </si>
  <si>
    <t>KIT COMP. BT 400A GRAMPO IMP. CJ - IND</t>
  </si>
  <si>
    <t>KIT COMP. BT 400A GRAMPO INOX BR - AMT</t>
  </si>
  <si>
    <t>KIT COMP. BT 400A GRAMPO INOX BR - IND</t>
  </si>
  <si>
    <t>KIT COMP. BT 400A GRAMPO INOX IMP - AMT</t>
  </si>
  <si>
    <t>KIT COMP. BT 400A SPADE  - AMT IMP</t>
  </si>
  <si>
    <t>KIT COMP. BT 400A SPADE 4 FUROS - IND</t>
  </si>
  <si>
    <t>KIT COMP. BT 400A SPADE BR - AMT</t>
  </si>
  <si>
    <t>KIT COMP. BT 400A SPADE BR - AMT - ACESS.IMP</t>
  </si>
  <si>
    <t>KIT COMP. BT 400A SPADE BR - IND</t>
  </si>
  <si>
    <t>KIT COMP. BT 400A SPADE IMP. CJ - AMT</t>
  </si>
  <si>
    <t>KIT COMP. BT 400A SPADE IMP. CJ - AMT - ACESS. IMP</t>
  </si>
  <si>
    <t>KIT COMP. BT 400A SPADE IMP. CJ - IND</t>
  </si>
  <si>
    <t>KIT COMP. BT 800A SPADE  - AMT IMP</t>
  </si>
  <si>
    <t>KIT COMP. BT 800A SPADE BR - AMT</t>
  </si>
  <si>
    <t>KIT COMP. BT 800A SPADE BR - IND</t>
  </si>
  <si>
    <t>KIT COMP. BT 800A SPADE IMP CJ - IND</t>
  </si>
  <si>
    <t>KIT COMPL. AT 36KVT1 12SAIAS S/ LUVA C/ FLANGE IMP</t>
  </si>
  <si>
    <t>KIT COMPL. AT 36KVT2 12SAIAS S/ LUVA C FLANGE IMP</t>
  </si>
  <si>
    <t>KIT COMPL. BT 160A GRAMPO AMT - ISOL. IMP</t>
  </si>
  <si>
    <t>KIT COMPLETO AT 15KV T1 HASTE C/ LUVA AR INOX IMP2</t>
  </si>
  <si>
    <t>KIT COMPLETO AT 15KV T1 HASTE C/ LUVA AR INOX IMP3</t>
  </si>
  <si>
    <t>KIT COMPLETO AT 15KV T1 HASTE C/ LUVA ARR. INOX BR</t>
  </si>
  <si>
    <t>KIT COMPLETO AT 15KV T1 HASTE C/ LUVA BR</t>
  </si>
  <si>
    <t>KIT COMPLETO AT 15KV T1 HASTE C/ LUVA IMP1</t>
  </si>
  <si>
    <t>KIT COMPLETO AT 15KV T1 HASTE C/ LUVA IMP2</t>
  </si>
  <si>
    <t>KIT COMPLETO AT 15KV T1 HASTE C/ LUVA IMP3</t>
  </si>
  <si>
    <t>KIT COMPLETO AT 15KV T1 HASTE S/ LUVA BR</t>
  </si>
  <si>
    <t>KIT COMPLETO AT 15KV T1 HASTE S/ LUVA C FLANGE IMP</t>
  </si>
  <si>
    <t>KIT COMPLETO AT 15KV T1 HASTE S/ LUVA IMP2</t>
  </si>
  <si>
    <t>KIT COMPLETO AT 15KV T1 HASTE S/ LUVA IMP3</t>
  </si>
  <si>
    <t>KIT COMPLETO AT 15KV T1 INOX C FLANGE IMP</t>
  </si>
  <si>
    <t>KIT COMPLETO AT 15KV T2 HASTE C/ LUVA AR INOX BR</t>
  </si>
  <si>
    <t>KIT COMPLETO AT 15KV T2 HASTE C/ LUVA AR INOX IMP2</t>
  </si>
  <si>
    <t>KIT COMPLETO AT 15KV T2 HASTE C/ LUVA AR INOX IMP3</t>
  </si>
  <si>
    <t>KIT COMPLETO AT 15KV T2 HASTE C/ LUVA BR</t>
  </si>
  <si>
    <t>KIT COMPLETO AT 15KV T2 HASTE C/ LUVA IMP1</t>
  </si>
  <si>
    <t>KIT COMPLETO AT 15KV T2 HASTE C/ LUVA IMP2</t>
  </si>
  <si>
    <t>KIT COMPLETO AT 15KV T2 HASTE C/ LUVA IMP3</t>
  </si>
  <si>
    <t>KIT COMPLETO AT 15KV T2 HASTE S/ LUVA BR</t>
  </si>
  <si>
    <t>KIT COMPLETO AT 15KV T2 HASTE S/ LUVA C FLANGE IMP</t>
  </si>
  <si>
    <t>KIT COMPLETO AT 15KV T2 HASTE S/ LUVA IMP2</t>
  </si>
  <si>
    <t>KIT COMPLETO AT 15KV T2 HASTE S/ LUVA IMP3</t>
  </si>
  <si>
    <t>KIT COMPLETO AT 15KV T2 INOX C FLANGE IMP</t>
  </si>
  <si>
    <t>KIT COMPLETO AT 25KV T1 HASTE C/ LUVA AR INOX BR</t>
  </si>
  <si>
    <t>KIT COMPLETO AT 25KV T1 HASTE C/ LUVA AR INOX IMP3</t>
  </si>
  <si>
    <t>KIT COMPLETO AT 25KV T1 HASTE C/ LUVA BR</t>
  </si>
  <si>
    <t>KIT COMPLETO AT 25KV T1 HASTE C/ LUVA IMP1</t>
  </si>
  <si>
    <t>KIT COMPLETO AT 25KV T1 HASTE C/ LUVA IMP2</t>
  </si>
  <si>
    <t>KIT COMPLETO AT 25KV T1 HASTE C/ LUVA IMP3</t>
  </si>
  <si>
    <t>KIT COMPLETO AT 25KV T1 HASTE S/ LUVA BR</t>
  </si>
  <si>
    <t>KIT COMPLETO AT 25KV T1 HASTE S/ LUVA C FLANGE IMP</t>
  </si>
  <si>
    <t>KIT COMPLETO AT 25KV T1 HASTE S/ LUVA IMP1</t>
  </si>
  <si>
    <t>KIT COMPLETO AT 25KV T1 HASTE S/ LUVA IMP2</t>
  </si>
  <si>
    <t>KIT COMPLETO AT 25KV T1 HASTE S/ LUVA IMP3</t>
  </si>
  <si>
    <t>KIT COMPLETO AT 25KV T1 INOX C/ FLANGE IMP</t>
  </si>
  <si>
    <t>KIT COMPLETO AT 25KV T2 HASTE C/ LUVA AR INOX BR</t>
  </si>
  <si>
    <t>KIT COMPLETO AT 25KV T2 HASTE C/ LUVA AR INOX IMP2</t>
  </si>
  <si>
    <t>KIT COMPLETO AT 25KV T2 HASTE C/ LUVA AR INOX IMP3</t>
  </si>
  <si>
    <t>KIT COMPLETO AT 25KV T2 HASTE C/ LUVA BR</t>
  </si>
  <si>
    <t>KIT COMPLETO AT 25KV T2 HASTE C/ LUVA IMP1</t>
  </si>
  <si>
    <t>KIT COMPLETO AT 25KV T2 HASTE C/ LUVA IMP2</t>
  </si>
  <si>
    <t>KIT COMPLETO AT 25KV T2 HASTE C/ LUVA IMP3</t>
  </si>
  <si>
    <t>KIT COMPLETO AT 25KV T2 HASTE S/ LUVA BR</t>
  </si>
  <si>
    <t>KIT COMPLETO AT 25KV T2 HASTE S/ LUVA C FLANGE IMP</t>
  </si>
  <si>
    <t>KIT COMPLETO AT 25KV T2 HASTE S/ LUVA IMP2</t>
  </si>
  <si>
    <t>KIT COMPLETO AT 25KV T2 HASTE S/ LUVA IMP3</t>
  </si>
  <si>
    <t>KIT COMPLETO AT 25KV T2 INOX C/ FLANGE IMP</t>
  </si>
  <si>
    <t>KIT COMPLETO AT 36KV T1 12SAIAS C/ LUVA BR</t>
  </si>
  <si>
    <t>KIT COMPLETO AT 36KV T1 12SAIAS C/ LUVA IMP1</t>
  </si>
  <si>
    <t>KIT COMPLETO AT 36KV T1 12SAIAS C/ LUVA IMP2</t>
  </si>
  <si>
    <t>KIT COMPLETO AT 36KV T1 12SAIAS C/ LUVA IMP3</t>
  </si>
  <si>
    <t>KIT COMPLETO AT 36KV T1 12SAIAS C/ LUVA(INOX) BR</t>
  </si>
  <si>
    <t>KIT COMPLETO AT 36KV T1 12SAIAS C/ LUVA(INOX) IMP2</t>
  </si>
  <si>
    <t>KIT COMPLETO AT 36KV T1 12SAIAS C/ LUVA(INOX) IMP3</t>
  </si>
  <si>
    <t>KIT COMPLETO AT 36KV T1 12SAIAS S/ LUVA BR</t>
  </si>
  <si>
    <t>KIT COMPLETO AT 36KV T1 12SAIAS S/ LUVA IMP2</t>
  </si>
  <si>
    <t>KIT COMPLETO AT 36KV T1 12SAIAS S/ LUVA IMP3</t>
  </si>
  <si>
    <t>KIT COMPLETO AT 36KV T2 12SAIAS C/ LUVA (INOX) BR</t>
  </si>
  <si>
    <t>KIT COMPLETO AT 36KV T2 12SAIAS C/ LUVA BR</t>
  </si>
  <si>
    <t>KIT COMPLETO AT 36KV T2 12SAIAS C/ LUVA IMP2</t>
  </si>
  <si>
    <t>KIT COMPLETO AT 36KV T2 12SAIAS C/ LUVA IMP3</t>
  </si>
  <si>
    <t>KIT COMPLETO AT 36KV T2 12SAIAS C/ LUVA(INOX) IMP2</t>
  </si>
  <si>
    <t>KIT COMPLETO AT 36KV T2 12SAIAS C/ LUVA(INOX) IMP3</t>
  </si>
  <si>
    <t>KIT COMPLETO AT 36KV T2 12SAIAS INOX C/ FLANGE IMP</t>
  </si>
  <si>
    <t>KIT COMPLETO AT 36KV T2 12SAIAS S/ LUVA BR</t>
  </si>
  <si>
    <t>KIT COMPLETO AT 36KV T2 12SAIAS S/ LUVA IMP2</t>
  </si>
  <si>
    <t>KIT COMPLETO AT 36KV T2 12SAIAS S/ LUVA IMP3</t>
  </si>
  <si>
    <t>KIT COMPLETO AT 36KV T2 12SAIAS S/LUVA C FLANGE BR</t>
  </si>
  <si>
    <t>KIT COMPLETO AT 36KVT1 12SAIAS INOX C FLANGE IMP</t>
  </si>
  <si>
    <t>KIT COMPLETO BT 1,3KV 160A GRAMPO BR</t>
  </si>
  <si>
    <t>KIT COMPLETO BT 1,3KV 160A GRAMPO IMP1</t>
  </si>
  <si>
    <t>KIT COMPLETO BT 1,3KV 160A GRAMPO IMP3</t>
  </si>
  <si>
    <t>KIT COMPLETO BT 1,3KV 160A GRAMPO IMPORTADO CJ</t>
  </si>
  <si>
    <t>KIT COMPLETO BT 1,3KV 160A GRAMPO INOX BR</t>
  </si>
  <si>
    <t>KIT COMPLETO BT 1,3KV 160A GRAMPO INOX IMP CJ</t>
  </si>
  <si>
    <t>KIT COMPLETO BT 1,3KV 160A SPADE BR</t>
  </si>
  <si>
    <t>KIT COMPLETO BT 1,3KV 160A SPADE IMP1</t>
  </si>
  <si>
    <t>KIT COMPLETO BT 1,3KV 160A SPADE IMP3</t>
  </si>
  <si>
    <t>KIT COMPLETO BT 1,3KV 160A SPADE IMPORTADO CJ</t>
  </si>
  <si>
    <t>KIT COMPLETO BT 1,3KV 400A GRAMPO BR</t>
  </si>
  <si>
    <t>KIT COMPLETO BT 1,3KV 400A GRAMPO IMP1</t>
  </si>
  <si>
    <t>KIT COMPLETO BT 1,3KV 400A GRAMPO IMP3</t>
  </si>
  <si>
    <t>KIT COMPLETO BT 1,3KV 400A GRAMPO IMPORTADO CJ</t>
  </si>
  <si>
    <t>KIT COMPLETO BT 1,3KV 400A GRAMPO INOX BR</t>
  </si>
  <si>
    <t>KIT COMPLETO BT 1,3KV 400A GRAMPO INOX IMP CJ</t>
  </si>
  <si>
    <t>KIT COMPLETO BT 1,3KV 400A SPADE BR</t>
  </si>
  <si>
    <t>KIT COMPLETO BT 1,3KV 400A SPADE IMP1</t>
  </si>
  <si>
    <t>KIT COMPLETO BT 1,3KV 400A SPADE IMP3</t>
  </si>
  <si>
    <t>KIT COMPLETO BT 1,3KV 400A SPADE IMPORTADO CJ</t>
  </si>
  <si>
    <t>KIT COMPLETO BT 1,3KV 800A SPADE BR</t>
  </si>
  <si>
    <t>KIT COMPLETO BT 1,3KV 800A SPADE IMP1</t>
  </si>
  <si>
    <t>KIT COMPLETO BT 1,3KV 800A SPADE IMP3</t>
  </si>
  <si>
    <t>KIT COMPLETO BT 1,3KV 800A SPADE IMPORTADO CJ</t>
  </si>
  <si>
    <t>KIT FLANGE AT</t>
  </si>
  <si>
    <t>KIT FLANGE AT - TERCEIRO</t>
  </si>
  <si>
    <t>KIT TERMINAL  AT 15 KV 160A BR</t>
  </si>
  <si>
    <t>KIT TERMINAL  AT 15 KV 160A BR HASTE C/ LUVA ARR.</t>
  </si>
  <si>
    <t>KIT TERMINAL  AT 15KV 160A IMP</t>
  </si>
  <si>
    <t>KIT TERMINAL  AT C/FLANGE-HASTE C/LUVA ARR.INOX BR</t>
  </si>
  <si>
    <t>KIT TERMINAL  BT 1,3KV 160A GRAMPO AMT BR</t>
  </si>
  <si>
    <t>KIT TERMINAL  BT 1,3KV 160A GRAMPO BR</t>
  </si>
  <si>
    <t>KIT TERMINAL  BT 1,3KV 160A GRAMPO IMP</t>
  </si>
  <si>
    <t>KIT TERMINAL  BT 1,3KV 160A GRAMPO INOX BR</t>
  </si>
  <si>
    <t>KIT TERMINAL  BT 1,3KV 160A SPADE BR</t>
  </si>
  <si>
    <t>KIT TERMINAL  BT 1,3KV 160A SPADE IMP</t>
  </si>
  <si>
    <t>KIT TERMINAL  BT 1,3KV 400A GRAMPO BR</t>
  </si>
  <si>
    <t>KIT TERMINAL  BT 1,3KV 400A GRAMPO IMP</t>
  </si>
  <si>
    <t>KIT TERMINAL  BT 1,3KV 400A GRAMPO INOX BR</t>
  </si>
  <si>
    <t>KIT TERMINAL  BT 1,3KV 400A SPADE BR</t>
  </si>
  <si>
    <t>KIT TERMINAL  BT 1,3KV 400A SPADE IMP</t>
  </si>
  <si>
    <t>KIT TERMINAL  BT 1,3KV 800A SPADE BR</t>
  </si>
  <si>
    <t>KIT TERMINAL  BT 1,3KV 800A SPADE IMP</t>
  </si>
  <si>
    <t>KIT TERMINAL  BT 400A GRAMPO INOX IND BR</t>
  </si>
  <si>
    <t>KIT TERMINAL AT - AMT</t>
  </si>
  <si>
    <t>KIT TERMINAL AT INOX - IND</t>
  </si>
  <si>
    <t>KIT TERMINAL BT 400A SPADE AMT</t>
  </si>
  <si>
    <t>KIT TERMINAL C/FLANGE  AT15/25KV-HASTE C/LUVA ARR</t>
  </si>
  <si>
    <t>KIT TERMINAL C/FLANGE  AT15/25KV-HASTE S/LUVA</t>
  </si>
  <si>
    <t>NUCLEO 100KVA M213-370-135-120 DE METAL AMORFO</t>
  </si>
  <si>
    <t>NUCLEO 10KVA M142-185-63-70 DE METAL AMORFO</t>
  </si>
  <si>
    <t>NUCLEO 10KVA M142-185-65-85 DE METAL AMORFO</t>
  </si>
  <si>
    <t>NUCLEO 10KVA M142-215-60,5-105 DE METAL AMORFO</t>
  </si>
  <si>
    <t>NUCLEO 10KVA M142-215-65-80 DE METAL AMORFO</t>
  </si>
  <si>
    <t>NUCLEO 10KVA M142-230-59-80 DE METAL AMORFO</t>
  </si>
  <si>
    <t>NUCLEO 10KVA M142-240-68-70 DE METAL AMORFO</t>
  </si>
  <si>
    <t>NUCLEO 112,5KVA T213-305-49,5-145-75 DE METAL AMOR</t>
  </si>
  <si>
    <t>NUCLEO 112,5KVA T213-305-52-145-75 DE METAL AMOR</t>
  </si>
  <si>
    <t>NUCLEO 15KVA M142-210-70,5-80 DE METAL AMORFO</t>
  </si>
  <si>
    <t>NUCLEO 15KVA M142-215-77-85 DE METAL AMORFO</t>
  </si>
  <si>
    <t>NUCLEO 15KVA M142-215-80-90 DE METAL AMORFO</t>
  </si>
  <si>
    <t>NUCLEO 15KVA M142-215-80-95 DE METAL AMORFO</t>
  </si>
  <si>
    <t>NUCLEO 15KVA M142-280-59-95 DE METAL AMORFO</t>
  </si>
  <si>
    <t>NUCLEO 15KVA M142-305-61-82 DE METAL AMORFO</t>
  </si>
  <si>
    <t>NUCLEO 15KVA T142-180-30-135-70 DE METAL AMORFO</t>
  </si>
  <si>
    <t>NUCLEO 25KVA M213-200-78-85 DE METAL AMORFO</t>
  </si>
  <si>
    <t>NUCLEO 30KVA T-142-210-41,5-110/65 DE METAL AMORFO</t>
  </si>
  <si>
    <t>NUCLEO 30KVA T142-220-38,5-130-70 DE METAL AMORFO</t>
  </si>
  <si>
    <t>NUCLEO 37,5KVA M170-310-88-95 DE METAL AMORFO</t>
  </si>
  <si>
    <t>NUCLEO 37,5KVA M170-310-91-95 DE METAL AMORFO</t>
  </si>
  <si>
    <t>NUCLEO 45KVA T142-305-40,5-135-70 DE METAL AMORFO</t>
  </si>
  <si>
    <t>NUCLEO 45KVAT142-255-45-115-65 DE METAL AMORFO</t>
  </si>
  <si>
    <t>NUCLEO 45KVAT142-300-40,5-135-70 DE METAL AMORFO</t>
  </si>
  <si>
    <t>NUCLEO 50KVA M213-330-98-115 DE METAL AMORFO</t>
  </si>
  <si>
    <t>NUCLEO 5KVA M142-205-50-70 DE METAL AMORFO</t>
  </si>
  <si>
    <t>NUCLEO 75KVA T170-300-50-135-70 DE METAL AMORFO</t>
  </si>
  <si>
    <t>NUCLEO 75KVA T170-315-50-126-65 DE METAL AMORFO</t>
  </si>
  <si>
    <t>NUCLEO 75KVA T170-320-47,5-140-75 DE METAL AMORFO</t>
  </si>
  <si>
    <t>NUCLEO 75KVA T170-320-49-140-75 DE METAL AMORFO</t>
  </si>
  <si>
    <t>NUCLEO AMORFO (142MM)</t>
  </si>
  <si>
    <t>NUCLEO AMORFO (170MM)</t>
  </si>
  <si>
    <t>NUCLEO AMORFO (213MM)</t>
  </si>
  <si>
    <t>NUCLEO AMORFO 2XM142-230-45,5-121</t>
  </si>
  <si>
    <t>NUCLEO AMORFO 2XM142-240-56-108</t>
  </si>
  <si>
    <t>NUCLEO AMORFO M142-230-45,5-121</t>
  </si>
  <si>
    <t>NUCLEO AMORFO M142-240-56-108</t>
  </si>
  <si>
    <t>NUCLEO DE METAL AMORFO 10 KVA MONOF.</t>
  </si>
  <si>
    <t>NUCLEO DE METAL AMORFO 10KVA MONOFASICO</t>
  </si>
  <si>
    <t>NUCLEO DE METAL AMORFO 15 KVA MONOF.</t>
  </si>
  <si>
    <t>NUCLEO DE METAL AMORFO 45 KVA TRIF.</t>
  </si>
  <si>
    <t>NUCLEO DE METAL AMORFO T-142-180-30-135</t>
  </si>
  <si>
    <t>NUCLEO DE METAL AMORFO T-142-180-30-70</t>
  </si>
  <si>
    <t>NUCLEO DE METAL AMORFO T-142-210-41,5-110</t>
  </si>
  <si>
    <t>NUCLEO DE METAL AMORFO T-142-210-41,5-65</t>
  </si>
  <si>
    <t>NUCLEO DE METAL AMORFO T-142-220-38,5-130</t>
  </si>
  <si>
    <t>NUCLEO DE METAL AMORFO T-142-220-38,5-70</t>
  </si>
  <si>
    <t>NUCLEO DE METAL AMORFO T-142-255-45-115</t>
  </si>
  <si>
    <t>NUCLEO DE METAL AMORFO T-142-255-45-65</t>
  </si>
  <si>
    <t>NUCLEO DE METAL AMORFO T-142-300-40,5-135</t>
  </si>
  <si>
    <t>NUCLEO DE METAL AMORFO T-142-300-40,5-70</t>
  </si>
  <si>
    <t>NUCLEO DE METAL AMORFO T-142-305-40,5-135</t>
  </si>
  <si>
    <t>NUCLEO DE METAL AMORFO T-142-305-40,5-70</t>
  </si>
  <si>
    <t>NUCLEO DE METAL AMORFO T-170-300-50-135</t>
  </si>
  <si>
    <t>NUCLEO DE METAL AMORFO T-170-300-50-70</t>
  </si>
  <si>
    <t>NUCLEO DE METAL AMORFO T-170-315-50-126</t>
  </si>
  <si>
    <t>NUCLEO DE METAL AMORFO T-170-315-50-65</t>
  </si>
  <si>
    <t>NUCLEO DE METAL AMORFO T-170-320-47,5-140</t>
  </si>
  <si>
    <t>NUCLEO DE METAL AMORFO T-170-320-47,5-75</t>
  </si>
  <si>
    <t>NUCLEO DE METAL AMORFO T-170-320-49-140</t>
  </si>
  <si>
    <t>NUCLEO DE METAL AMORFO T-170-320-49-75</t>
  </si>
  <si>
    <t>NUCLEO DE METAL AMORFO T-213-305-49,5-145</t>
  </si>
  <si>
    <t>NUCLEO DE METAL AMORFO T-213-305-49,5-75</t>
  </si>
  <si>
    <t>NUCLEO DE METAL AMORFO T-213-305-52-145</t>
  </si>
  <si>
    <t>NUCLEO DE METAL AMORFO T-213-305-52-75</t>
  </si>
  <si>
    <t>NUCLEO METAL AMORFO CORTADO 10KVA</t>
  </si>
  <si>
    <t>NUCLEO METAL AMORFO MONTADO 10KVA</t>
  </si>
  <si>
    <t>NUCLEO METAL AMORFO RECOZIDO 10KVA</t>
  </si>
  <si>
    <t>NUCLEO METAL AMORFO RESINADO 10KVA</t>
  </si>
  <si>
    <t>P. CORRUGADO 100 KVA</t>
  </si>
  <si>
    <t>P. CORRUGADO 100 KVA  - PC0118</t>
  </si>
  <si>
    <t>P. CORRUGADO 1000 X 12 X 230MM</t>
  </si>
  <si>
    <t>P. CORRUGADO 1000 X 12 X 50MM</t>
  </si>
  <si>
    <t>P. CORRUGADO 1000 X 14 X 320MM</t>
  </si>
  <si>
    <t>P. CORRUGADO 1000 X 27 X 290MM</t>
  </si>
  <si>
    <t>P. CORRUGADO 1000 X 29 X 230MM</t>
  </si>
  <si>
    <t>P. CORRUGADO 1000 X 29 X 290MM</t>
  </si>
  <si>
    <t>P. CORRUGADO 1000 X 31 X 230MM</t>
  </si>
  <si>
    <t>P. CORRUGADO 1100 X 12 X 150MM</t>
  </si>
  <si>
    <t>P. CORRUGADO 1100 X 12 X 160MM</t>
  </si>
  <si>
    <t>P. CORRUGADO 1100 X 13 X 110MM</t>
  </si>
  <si>
    <t>P. CORRUGADO 1100 X 13 X 190MM</t>
  </si>
  <si>
    <t>P. CORRUGADO 1100 X 13 X 340MM</t>
  </si>
  <si>
    <t>P. CORRUGADO 1100 X 13 X 350MM</t>
  </si>
  <si>
    <t>P. CORRUGADO 1100 X 14 X 100MM</t>
  </si>
  <si>
    <t>P. CORRUGADO 1100 X 15 X 220MM</t>
  </si>
  <si>
    <t>P. CORRUGADO 1100 X 15 X 330MM</t>
  </si>
  <si>
    <t>P. CORRUGADO 1100 X 15 X 350MM</t>
  </si>
  <si>
    <t>P. CORRUGADO 1100 X 16 X 200MM</t>
  </si>
  <si>
    <t>P. CORRUGADO 1100 X 17 X 300MM</t>
  </si>
  <si>
    <t>P. CORRUGADO 1100 X 19 X 200MM</t>
  </si>
  <si>
    <t>P. CORRUGADO 1100 X 23 X 220MM</t>
  </si>
  <si>
    <t>P. CORRUGADO 1100 X 25 X 330MM</t>
  </si>
  <si>
    <t>P. CORRUGADO 1100 X 27 X 200MM</t>
  </si>
  <si>
    <t>P. CORRUGADO 1100 X 27 X 280MM</t>
  </si>
  <si>
    <t>P. CORRUGADO 1100 X 27 X 300MM</t>
  </si>
  <si>
    <t>P. CORRUGADO 1100 X 27 X 360MM</t>
  </si>
  <si>
    <t>P. CORRUGADO 1100 X 28 X 130MM</t>
  </si>
  <si>
    <t>P. CORRUGADO 1100 X 29 X 250MM</t>
  </si>
  <si>
    <t>P. CORRUGADO 1100 X 29 X 280MM</t>
  </si>
  <si>
    <t>P. CORRUGADO 1100 X 29 X 300MM</t>
  </si>
  <si>
    <t>P. CORRUGADO 1100 X 29 X 360MM</t>
  </si>
  <si>
    <t>P. CORRUGADO 1100 X 30 X 220MM</t>
  </si>
  <si>
    <t>P. CORRUGADO 1100 X 30 X 330MM</t>
  </si>
  <si>
    <t>P. CORRUGADO 1100 X 30 X 360MM</t>
  </si>
  <si>
    <t>P. CORRUGADO 1100 X 31X 280MM</t>
  </si>
  <si>
    <t>P. CORRUGADO 1100 X 32 X  250MM</t>
  </si>
  <si>
    <t>P. CORRUGADO 1100 X 32 X 310MM</t>
  </si>
  <si>
    <t>P. CORRUGADO 1100 X 34 X 330MM</t>
  </si>
  <si>
    <t>P. CORRUGADO 1100 X 35 X 350MM</t>
  </si>
  <si>
    <t>P. CORRUGADO 1100 X 36 X 190MM</t>
  </si>
  <si>
    <t>P. CORRUGADO 1100 X 37 X 250MM</t>
  </si>
  <si>
    <t>P. CORRUGADO 1100 X 39 X 220MM</t>
  </si>
  <si>
    <t>P. CORRUGADO 1100 X 42 X 340MM</t>
  </si>
  <si>
    <t>P. CORRUGADO 112,5 KVA PC 0110</t>
  </si>
  <si>
    <t>P. CORRUGADO 1200 X 10 X 360 MM</t>
  </si>
  <si>
    <t>P. CORRUGADO 1200 X 12 X 90MM</t>
  </si>
  <si>
    <t>P. CORRUGADO 1200 X 13 X 250MM</t>
  </si>
  <si>
    <t>P. CORRUGADO 1200 X 14 X 160MM</t>
  </si>
  <si>
    <t>P. CORRUGADO 1200 X 14 X 210MM</t>
  </si>
  <si>
    <t>P. CORRUGADO 1200 X 14 X 350MM</t>
  </si>
  <si>
    <t>P. CORRUGADO 1200 X 15 X 210MM</t>
  </si>
  <si>
    <t>P. CORRUGADO 1200 X 16 X 100MM</t>
  </si>
  <si>
    <t>P. CORRUGADO 1200 X 16 X 110MM</t>
  </si>
  <si>
    <t>P. CORRUGADO 1200 X 24 X 330MM</t>
  </si>
  <si>
    <t>P. CORRUGADO 1200 X 28 X 360 MM</t>
  </si>
  <si>
    <t>P. CORRUGADO 1200 X 30 X 400MM</t>
  </si>
  <si>
    <t>P. CORRUGADO 1200 X 31 X 350MM</t>
  </si>
  <si>
    <t>P. CORRUGADO 1200 X 32 X 360MM</t>
  </si>
  <si>
    <t>P. CORRUGADO 1200 X 33 X 190MM</t>
  </si>
  <si>
    <t>P. CORRUGADO 1200 X 34 X 240MM</t>
  </si>
  <si>
    <t>P. CORRUGADO 1200 X 34 X 270MM</t>
  </si>
  <si>
    <t>P. CORRUGADO 1200 X 34 X 350MM</t>
  </si>
  <si>
    <t>P. CORRUGADO 1200 X 35 X 260MM</t>
  </si>
  <si>
    <t>P. CORRUGADO 1200 X 36 X 330MM</t>
  </si>
  <si>
    <t>P. CORRUGADO 1200 X 37 X 250MM</t>
  </si>
  <si>
    <t>P. CORRUGADO 1200 X 38 X 360MM</t>
  </si>
  <si>
    <t>P. CORRUGADO 1200 X 39 X 210MM</t>
  </si>
  <si>
    <t>P. CORRUGADO 1200 X 40 X 210MM</t>
  </si>
  <si>
    <t>P. CORRUGADO 1200 X 40 X 260MM</t>
  </si>
  <si>
    <t>P. CORRUGADO 1200 X 42 X 280MM</t>
  </si>
  <si>
    <t>P. CORRUGADO 1300 X 10 X 340MM</t>
  </si>
  <si>
    <t>P. CORRUGADO 1300 X 10 X 360MM</t>
  </si>
  <si>
    <t>P. CORRUGADO 1300 X 12 X 260MM</t>
  </si>
  <si>
    <t>P. CORRUGADO 1300 X 14 X 250MM</t>
  </si>
  <si>
    <t>P. CORRUGADO 1300 X 17 X 320MM</t>
  </si>
  <si>
    <t>P. CORRUGADO 1300 X 17 X 330MM</t>
  </si>
  <si>
    <t>P. CORRUGADO 1300 X 24 X 340MM</t>
  </si>
  <si>
    <t>P. CORRUGADO 1300 X 24 X 360MM</t>
  </si>
  <si>
    <t>P. CORRUGADO 1300 X 27 X 260MM</t>
  </si>
  <si>
    <t>P. CORRUGADO 1300 X 27 X 330MM</t>
  </si>
  <si>
    <t>P. CORRUGADO 1300 X 28 X 300MM</t>
  </si>
  <si>
    <t>P. CORRUGADO 1300 X 29 X 360MM</t>
  </si>
  <si>
    <t>P. CORRUGADO 1300 X 31 X 360MM</t>
  </si>
  <si>
    <t>P. CORRUGADO 1300 X 32 X 360MM</t>
  </si>
  <si>
    <t>P. CORRUGADO 1300 X 35 X 370MM</t>
  </si>
  <si>
    <t>P. CORRUGADO 1300 X 37 X 250MM</t>
  </si>
  <si>
    <t>P. CORRUGADO 1300 X 38 X 330MM</t>
  </si>
  <si>
    <t>P. CORRUGADO 1300 X 50 X 360MM</t>
  </si>
  <si>
    <t>P. CORRUGADO 1300 X 56 X 340MM</t>
  </si>
  <si>
    <t>P. CORRUGADO 1400 X 12 X 360MM</t>
  </si>
  <si>
    <t>P. CORRUGADO 1400 X 30 X 360MM</t>
  </si>
  <si>
    <t>P. CORRUGADO 1500 X 10 X 360MM</t>
  </si>
  <si>
    <t>P. CORRUGADO 1500 X 13 X 250MM</t>
  </si>
  <si>
    <t>P. CORRUGADO 1500 X 24 X 360MM</t>
  </si>
  <si>
    <t>P. CORRUGADO 1500 X 65 X 360MM</t>
  </si>
  <si>
    <t>P. CORRUGADO 160 KVA</t>
  </si>
  <si>
    <t>P. CORRUGADO 225 KVA PC 0111</t>
  </si>
  <si>
    <t>P. CORRUGADO 250 KVA</t>
  </si>
  <si>
    <t>P. CORRUGADO 400 X 10 X 100MM</t>
  </si>
  <si>
    <t>P. CORRUGADO 400 X 10 X 130MM</t>
  </si>
  <si>
    <t>P. CORRUGADO 400 X 11 X 140MM</t>
  </si>
  <si>
    <t>P. CORRUGADO 400 X 12 X 100MM</t>
  </si>
  <si>
    <t>P. CORRUGADO 400 X 12 X 130MM</t>
  </si>
  <si>
    <t>P. CORRUGADO 400 X 13 X 140MM</t>
  </si>
  <si>
    <t>P. CORRUGADO 400 X 13 X 160MM</t>
  </si>
  <si>
    <t>P. CORRUGADO 400 X 13 X 130MM</t>
  </si>
  <si>
    <t>P. CORRUGADO 400 X 15 X 160MM</t>
  </si>
  <si>
    <t>P. CORRUGADO 400 X 15 X 190MM</t>
  </si>
  <si>
    <t>P. CORRUGADO 400 X 16 X 160MM</t>
  </si>
  <si>
    <t>P. CORRUGADO 400 X 17 X 160MM</t>
  </si>
  <si>
    <t>P. CORRUGADO 400 X 18 X 230MM</t>
  </si>
  <si>
    <t>P. CORRUGADO 400 X 19 X 160MM</t>
  </si>
  <si>
    <t>P. CORRUGADO 400 X 20 X 160MM</t>
  </si>
  <si>
    <t>P. CORRUGADO 400 X 21 X 160MM</t>
  </si>
  <si>
    <t>P. CORRUGADO 400 X 22 X 160MM</t>
  </si>
  <si>
    <t>P. CORRUGADO 400 X 23 X 160MM</t>
  </si>
  <si>
    <t>P. CORRUGADO 400 X 24 X 160MM</t>
  </si>
  <si>
    <t>P. CORRUGADO 400 X 26 X 160MM</t>
  </si>
  <si>
    <t>P. CORRUGADO 400 X 29 X 160MM</t>
  </si>
  <si>
    <t>P. CORRUGADO 400 X 31 X 160MM</t>
  </si>
  <si>
    <t>P. CORRUGADO 400 X 32 X 160MM</t>
  </si>
  <si>
    <t>P. CORRUGADO 400 X 33 X 160MM</t>
  </si>
  <si>
    <t>P. CORRUGADO 400 X 34 X 160MM</t>
  </si>
  <si>
    <t>P. CORRUGADO 400 X 35 X 160MM</t>
  </si>
  <si>
    <t>P. CORRUGADO 400 X 36 X 160MM</t>
  </si>
  <si>
    <t>P. CORRUGADO 400 X 37 X 160MM</t>
  </si>
  <si>
    <t>P. CORRUGADO 400 X 46 X 160MM</t>
  </si>
  <si>
    <t>P. CORRUGADO 400 X 6 X 100MM</t>
  </si>
  <si>
    <t>P. CORRUGADO 400 X 8 X 120MM</t>
  </si>
  <si>
    <t>P. CORRUGADO 50 KVA</t>
  </si>
  <si>
    <t>P. CORRUGADO 50 KVA - PC0117</t>
  </si>
  <si>
    <t>P. CORRUGADO 500 X 10 X 150MM</t>
  </si>
  <si>
    <t>P. CORRUGADO 500 X 10 X 90MM</t>
  </si>
  <si>
    <t>P. CORRUGADO 500 X 15 X 150MM</t>
  </si>
  <si>
    <t>P. CORRUGADO 500 X 17 X 120MM</t>
  </si>
  <si>
    <t>P. CORRUGADO 500 X 7 X 120MM</t>
  </si>
  <si>
    <t>P. CORRUGADO 535 X 10 X 130MM</t>
  </si>
  <si>
    <t>P. CORRUGADO 535 X 10 X 140MM</t>
  </si>
  <si>
    <t>P. CORRUGADO 535 X 10 X 170MM</t>
  </si>
  <si>
    <t>P. CORRUGADO 535 X 10 X 240MM</t>
  </si>
  <si>
    <t>P. CORRUGADO 535 X 10 X 90MM</t>
  </si>
  <si>
    <t>P. CORRUGADO 535 X 12 X 170MM</t>
  </si>
  <si>
    <t>P. CORRUGADO 535 X 12 X 200MM</t>
  </si>
  <si>
    <t>P. CORRUGADO 535 X 14 X 150MM</t>
  </si>
  <si>
    <t>P. CORRUGADO 535 X 15 X 150MM</t>
  </si>
  <si>
    <t>P. CORRUGADO 535 X 15 X 170MM</t>
  </si>
  <si>
    <t>P. CORRUGADO 535 X 16 X 140MM</t>
  </si>
  <si>
    <t>P. CORRUGADO 535 X 16 X 170MM</t>
  </si>
  <si>
    <t>P. CORRUGADO 535 X 18 X 150MM</t>
  </si>
  <si>
    <t>P. CORRUGADO 535 X 18 X 200MM</t>
  </si>
  <si>
    <t>P. CORRUGADO 535 X 26 X 240 MM</t>
  </si>
  <si>
    <t>P. CORRUGADO 535 X 30 X 280MM</t>
  </si>
  <si>
    <t>P. CORRUGADO 535 X 6 X 100MM</t>
  </si>
  <si>
    <t>P. CORRUGADO 535 X 8 X 100 MM</t>
  </si>
  <si>
    <t>P. CORRUGADO 600 X 10 X 150MM</t>
  </si>
  <si>
    <t>P. CORRUGADO 600 X 11 X 180MM</t>
  </si>
  <si>
    <t>P. CORRUGADO 600 X 12 X 120MM</t>
  </si>
  <si>
    <t>P. CORRUGADO 600 X 12 X 160MM</t>
  </si>
  <si>
    <t>P. CORRUGADO 600 X 13 X 180MM</t>
  </si>
  <si>
    <t>P. CORRUGADO 600 X 14 X 140MM</t>
  </si>
  <si>
    <t>P. CORRUGADO 600 X 14 X 160MM</t>
  </si>
  <si>
    <t>P. CORRUGADO 600 X 14 X 200MM</t>
  </si>
  <si>
    <t>P. CORRUGADO 600 X 14 X 210MM</t>
  </si>
  <si>
    <t>P. CORRUGADO 600 X 14 X 220MM</t>
  </si>
  <si>
    <t>P. CORRUGADO 600 X 14 X 270MM</t>
  </si>
  <si>
    <t>P. CORRUGADO 600 X 15 X 170MM</t>
  </si>
  <si>
    <t>P. CORRUGADO 600 X 17 X 160MM</t>
  </si>
  <si>
    <t>P. CORRUGADO 600 X 18 X 160MM</t>
  </si>
  <si>
    <t>P. CORRUGADO 600 X 18 X 80MM</t>
  </si>
  <si>
    <t>P. CORRUGADO 600 X 19 X 160MM</t>
  </si>
  <si>
    <t>P. CORRUGADO 600 X 19 X 170MM</t>
  </si>
  <si>
    <t>P. CORRUGADO 600 X 20 X 100MM</t>
  </si>
  <si>
    <t>P. CORRUGADO 600 X 20 X 170MM</t>
  </si>
  <si>
    <t>P. CORRUGADO 600 X 22 X 180MM</t>
  </si>
  <si>
    <t>P. CORRUGADO 600 X 24 X 180MM</t>
  </si>
  <si>
    <t>P. CORRUGADO 600 X 25 X 160MM</t>
  </si>
  <si>
    <t>P. CORRUGADO 600 X 25 X 180MM</t>
  </si>
  <si>
    <t>P. CORRUGADO 600 X 25 X 200MM</t>
  </si>
  <si>
    <t>P. CORRUGADO 600 X 26 X 160MM</t>
  </si>
  <si>
    <t>P. CORRUGADO 600 X 26 X 180MM</t>
  </si>
  <si>
    <t>P. CORRUGADO 600 X 26 X 200MM</t>
  </si>
  <si>
    <t>P. CORRUGADO 600 X 28 X 190MM</t>
  </si>
  <si>
    <t>P. CORRUGADO 600 X 28 X 200MM</t>
  </si>
  <si>
    <t>P. CORRUGADO 600 X 28 X 210MM</t>
  </si>
  <si>
    <t>P. CORRUGADO 600 X 28 X 220MM</t>
  </si>
  <si>
    <t>P. CORRUGADO 600 X 30 X 160MM</t>
  </si>
  <si>
    <t>P. CORRUGADO 600 X 30 X 240MM</t>
  </si>
  <si>
    <t>P. CORRUGADO 600 X 32 X 160MM</t>
  </si>
  <si>
    <t>P. CORRUGADO 600 X 34 X 150MM</t>
  </si>
  <si>
    <t>P. CORRUGADO 600 X 34 X 160MM</t>
  </si>
  <si>
    <t>P. CORRUGADO 600 X 35 X 150MM</t>
  </si>
  <si>
    <t>P. CORRUGADO 600 X 35 X 160MM</t>
  </si>
  <si>
    <t>P. CORRUGADO 600 X 36 X 160MM</t>
  </si>
  <si>
    <t>P. CORRUGADO 600 X 38 X 150MM</t>
  </si>
  <si>
    <t>P. CORRUGADO 600 X 38 X 160MM</t>
  </si>
  <si>
    <t>P. CORRUGADO 600 X 40 X 160MM</t>
  </si>
  <si>
    <t>P. CORRUGADO 600 X 42 X 150MM</t>
  </si>
  <si>
    <t>P. CORRUGADO 600 X 42 X 160MM</t>
  </si>
  <si>
    <t>P. CORRUGADO 600 X 45 X 160MM</t>
  </si>
  <si>
    <t>P. CORRUGADO 600 X 46 X 160MM</t>
  </si>
  <si>
    <t>P. CORRUGADO 600 X 48 X 160MM</t>
  </si>
  <si>
    <t>P. CORRUGADO 600 X 50 X 160MM</t>
  </si>
  <si>
    <t>P. CORRUGADO 600 X 6 X 140MM</t>
  </si>
  <si>
    <t>P. CORRUGADO 600 X 7 X 50MM</t>
  </si>
  <si>
    <t>P. CORRUGADO 600 X 8 X 100MM</t>
  </si>
  <si>
    <t>P. CORRUGADO 650 KVA PC 0112</t>
  </si>
  <si>
    <t>P. CORRUGADO 700 X 10 X 100MM</t>
  </si>
  <si>
    <t>P. CORRUGADO 700 X 10 X 200MM</t>
  </si>
  <si>
    <t>P. CORRUGADO 700 X 11 X 60MM</t>
  </si>
  <si>
    <t>P. CORRUGADO 700 X 12 X 220MM</t>
  </si>
  <si>
    <t>P. CORRUGADO 700 X 13 X 130MM</t>
  </si>
  <si>
    <t>P. CORRUGADO 700 X 17 X 200MM</t>
  </si>
  <si>
    <t>P. CORRUGADO 700 X 22 X 220MM</t>
  </si>
  <si>
    <t>P. CORRUGADO 700 X 23 X 220MM</t>
  </si>
  <si>
    <t>P. CORRUGADO 700 X 25 X 240MM</t>
  </si>
  <si>
    <t>P. CORRUGADO 700 X 25 X 70MM</t>
  </si>
  <si>
    <t>P. CORRUGADO 700 X 26 X 200MM</t>
  </si>
  <si>
    <t>P. CORRUGADO 700 X 27 X 190MM</t>
  </si>
  <si>
    <t>P. CORRUGADO 700 X 30 X 240MM</t>
  </si>
  <si>
    <t>P. CORRUGADO 700 X 30 X 280MM</t>
  </si>
  <si>
    <t>P. CORRUGADO 700 X 31 X 150MM</t>
  </si>
  <si>
    <t>P. CORRUGADO 700 X 34 X 240MM</t>
  </si>
  <si>
    <t>P. CORRUGADO 700 X 35 X 150MM</t>
  </si>
  <si>
    <t>P. CORRUGADO 700 X 42 X 150MM</t>
  </si>
  <si>
    <t>P. CORRUGADO 700 X 43 X 180MM</t>
  </si>
  <si>
    <t>P. CORRUGADO 750 KVA PC 0113</t>
  </si>
  <si>
    <t>P. CORRUGADO 800 X 11 X 90 MM</t>
  </si>
  <si>
    <t>P. CORRUGADO 800 X 13 X 130MM</t>
  </si>
  <si>
    <t>P. CORRUGADO 800 X 19 X 100MM</t>
  </si>
  <si>
    <t>P. CORRUGADO 800 X 20 X 140MM</t>
  </si>
  <si>
    <t>P. CORRUGADO 800 X 20 X 90MM</t>
  </si>
  <si>
    <t>P. CORRUGADO 800 X 21 X 90MM</t>
  </si>
  <si>
    <t>P. CORRUGADO 800 X 24 X 140MM</t>
  </si>
  <si>
    <t>P. CORRUGADO 800 X 28 X 230 MM</t>
  </si>
  <si>
    <t>P. CORRUGADO 800 X 30 X 230 MM</t>
  </si>
  <si>
    <t>P. CORRUGADO 800 X 6 X 110MM</t>
  </si>
  <si>
    <t>P. CORRUGADO 800 X 7 X 70MM</t>
  </si>
  <si>
    <t>P. CORRUGADO 800 X 8 X 90MM</t>
  </si>
  <si>
    <t>P. CORRUGADO 900 X 10 X 150MM</t>
  </si>
  <si>
    <t>P. CORRUGADO 900 X 10 X 210MM</t>
  </si>
  <si>
    <t>P. CORRUGADO 900 X 10 X 270MM</t>
  </si>
  <si>
    <t>P. CORRUGADO 900 X 11 X 210MM</t>
  </si>
  <si>
    <t>P. CORRUGADO 900 X 12 X 240MM</t>
  </si>
  <si>
    <t>P. CORRUGADO 900 X 13 X 210MM</t>
  </si>
  <si>
    <t>P. CORRUGADO 900 X 14 X 230MM</t>
  </si>
  <si>
    <t>P. CORRUGADO 900 X 16 X 140MM</t>
  </si>
  <si>
    <t>P. CORRUGADO 900 X 20 X 240MM</t>
  </si>
  <si>
    <t>P. CORRUGADO 900 X 21 X 210 MM</t>
  </si>
  <si>
    <t>P. CORRUGADO 900 X 21 X 260 MM</t>
  </si>
  <si>
    <t>P. CORRUGADO 900 X 22 X 210MM</t>
  </si>
  <si>
    <t>P. CORRUGADO 900 X 23 X 200MM</t>
  </si>
  <si>
    <t>P. CORRUGADO 900 X 23 X 210MM</t>
  </si>
  <si>
    <t>P. CORRUGADO 900 X 25 X 200MM</t>
  </si>
  <si>
    <t>P. CORRUGADO 900 X 25 X 210MM</t>
  </si>
  <si>
    <t>P. CORRUGADO 900 X 25 X 260MM</t>
  </si>
  <si>
    <t>P. CORRUGADO 900 X 26 X 140MM</t>
  </si>
  <si>
    <t>P. CORRUGADO 900 X 26 X 210MM</t>
  </si>
  <si>
    <t>P. CORRUGADO 900 X 26 X 230MM</t>
  </si>
  <si>
    <t>P. CORRUGADO 900 X 26 X 240MM</t>
  </si>
  <si>
    <t>P. CORRUGADO 900 X 26 X 300MM</t>
  </si>
  <si>
    <t>P. CORRUGADO 900 X 27 X 200MM</t>
  </si>
  <si>
    <t>P. CORRUGADO 900 X 27 X 210MM</t>
  </si>
  <si>
    <t>P. CORRUGADO 900 X 27 X 230 MM</t>
  </si>
  <si>
    <t>P. CORRUGADO 900 X 27 X 260MM</t>
  </si>
  <si>
    <t>P. CORRUGADO 900 X 28 X 220MM</t>
  </si>
  <si>
    <t>P. CORRUGADO 900 X 34 X 240MM</t>
  </si>
  <si>
    <t>P. CORRUGADO 900 X 40 X 150MM</t>
  </si>
  <si>
    <t>P. CORRUGADO DES MA 5257-06</t>
  </si>
  <si>
    <t>P. CORRUGADO DES TA 3100-07</t>
  </si>
  <si>
    <t>P. CORRUGADO DES. TA 2898-07</t>
  </si>
  <si>
    <t>P. CORRUGADO MA 5257-06</t>
  </si>
  <si>
    <t>PINO CONDUTOR AT C/TUBO ESTANHADO</t>
  </si>
  <si>
    <t>PINO CONDUTOR AT C/TUBO ESTANHADO IMP</t>
  </si>
  <si>
    <t>PINO CONDUTOR AT ESTANHADO</t>
  </si>
  <si>
    <t>PINO CONDUTOR AT ESTANHADO IMP</t>
  </si>
  <si>
    <t>PINO CONDUTOR IND</t>
  </si>
  <si>
    <t>PRENSA CABO AT COMPLETO</t>
  </si>
  <si>
    <t>PRENSA CABO AT COMPLETO IMP</t>
  </si>
  <si>
    <t>PRENSA CABO AT ESTANHADO</t>
  </si>
  <si>
    <t>PRENSA CABO AT ESTANHADO IMP</t>
  </si>
  <si>
    <t>PRENSA CABO AT ESTANHADO IND</t>
  </si>
  <si>
    <t>PRENSA CABO BT 160 ESTANHADO IND</t>
  </si>
  <si>
    <t>PRENSA CABO BT 160A  COMPLETO</t>
  </si>
  <si>
    <t>PRENSA CABO BT 160A COMPLETO IMP</t>
  </si>
  <si>
    <t>PRENSA CABO BT 160A ESTANHADO</t>
  </si>
  <si>
    <t>PRENSA CABO BT 160A ESTANHADO IMP</t>
  </si>
  <si>
    <t>PRENSA CABO BT 400 GRAMPO EST. IND</t>
  </si>
  <si>
    <t>PRENSA CABO BT 400A  COMPLETO</t>
  </si>
  <si>
    <t>PRENSA CABO BT 400A COMPLETO IMP</t>
  </si>
  <si>
    <t>PRENSA CABO BT 400A ESTANHADO</t>
  </si>
  <si>
    <t>PRENSA CABO BT 400A ESTANHADO IMP</t>
  </si>
  <si>
    <t>PRESILHA INFERIOR</t>
  </si>
  <si>
    <t>PRESILHA INFERIOR (CHAPA NOVA)</t>
  </si>
  <si>
    <t>PRESILHA INFERIOR (SUCATA)</t>
  </si>
  <si>
    <t>PRESILHA L DA TAMPA GALVANIZADA</t>
  </si>
  <si>
    <t>PRESILHA L DA TAMPA S/ GALVANIZAR</t>
  </si>
  <si>
    <t>PRESILHA SUPERIOR - REVENDA</t>
  </si>
  <si>
    <t>SUPORTE DE PLACA</t>
  </si>
  <si>
    <t>TAMPA GRAMPO ATERRAMENTO IND</t>
  </si>
  <si>
    <t>TERMINAL AT ARR. INOX AMT</t>
  </si>
  <si>
    <t>TERMINAL AT ARR. INOX IND</t>
  </si>
  <si>
    <t>TERMINAL AT COMPLETO AMT</t>
  </si>
  <si>
    <t>TERMINAL AT COMPLETO AMT IMP</t>
  </si>
  <si>
    <t>TERMINAL AT COMPLETO INOX IND</t>
  </si>
  <si>
    <t>TERMINAL AT ESTANHADO</t>
  </si>
  <si>
    <t>TERMINAL AT ESTANHADO IMP</t>
  </si>
  <si>
    <t>TERMINAL AT ESTANHADO IND</t>
  </si>
  <si>
    <t>TERMINAL AT PARTE SUPERIOR AMT</t>
  </si>
  <si>
    <t>TERMINAL AT PARTE SUPERIOR AMT IMP</t>
  </si>
  <si>
    <t>TERMINAL AT PARTE SUPERIOR C/INOX AMT</t>
  </si>
  <si>
    <t>TERMINAL AT PARTE SUPERIOR C/INOX AMT IMP</t>
  </si>
  <si>
    <t>TERMINAL AT PARTE SUPERIOR C/INOX IND</t>
  </si>
  <si>
    <t>TERMINAL AT PARTE SUPERIOR IND</t>
  </si>
  <si>
    <t>TERMINAL BT 160 GRAMPO  AMT</t>
  </si>
  <si>
    <t>TERMINAL BT 160 GRAMPO  AMT IMP</t>
  </si>
  <si>
    <t>TERMINAL BT 160 GRAMPO AMT - ACESS. IMP</t>
  </si>
  <si>
    <t>TERMINAL BT 160 GRAMPO ESTANHADO</t>
  </si>
  <si>
    <t>TERMINAL BT 160 GRAMPO ESTANHADO IMP</t>
  </si>
  <si>
    <t>TERMINAL BT 160 GRAMPO ESTANHADO IND</t>
  </si>
  <si>
    <t>TERMINAL BT 160 GRAMPO INOX  AMT</t>
  </si>
  <si>
    <t>TERMINAL BT 160 GRAMPO INOX  AMT - ACESS. IMP</t>
  </si>
  <si>
    <t>TERMINAL BT 160 GRAMPO INOX  AMT IMP</t>
  </si>
  <si>
    <t>TERMINAL BT 160 GRAMPO INOX IND</t>
  </si>
  <si>
    <t>TERMINAL BT 160 SPADE AMT</t>
  </si>
  <si>
    <t>TERMINAL BT 160 SPADE AMT - ACESS. IMP</t>
  </si>
  <si>
    <t>TERMINAL BT 160 SPADE AMT IMP</t>
  </si>
  <si>
    <t>TERMINAL BT 160 SPADE ESTANHADO</t>
  </si>
  <si>
    <t>TERMINAL BT 160 SPADE ESTANHADO IMP</t>
  </si>
  <si>
    <t>TERMINAL BT 160 SPADE ESTANHADO IND</t>
  </si>
  <si>
    <t>TERMINAL BT 160 SPADE IND</t>
  </si>
  <si>
    <t>TERMINAL BT 400 GRAMPO AMT</t>
  </si>
  <si>
    <t>TERMINAL BT 400 GRAMPO AMT IMP</t>
  </si>
  <si>
    <t>TERMINAL BT 400 GRAMPO EST. IND</t>
  </si>
  <si>
    <t>TERMINAL BT 400 GRAMPO IND</t>
  </si>
  <si>
    <t>TERMINAL BT 400 GRAMPO INOX AMT</t>
  </si>
  <si>
    <t>TERMINAL BT 400 GRAMPO INOX AMT IMP</t>
  </si>
  <si>
    <t>TERMINAL BT 400 GRAMPO INOX IND</t>
  </si>
  <si>
    <t>TERMINAL BT 400 SPADE 4 FUROS EST. IND</t>
  </si>
  <si>
    <t>TERMINAL BT 400 SPADE 4 FUROS IND.</t>
  </si>
  <si>
    <t>TERMINAL BT 400 SPADE AMT</t>
  </si>
  <si>
    <t>TERMINAL BT 400 SPADE AMT - ACESS. IMP</t>
  </si>
  <si>
    <t>TERMINAL BT 400 SPADE AMT IMP</t>
  </si>
  <si>
    <t>TERMINAL BT 400 SPADE EST. IND</t>
  </si>
  <si>
    <t>TERMINAL BT 400 SPADE ESTANHADO</t>
  </si>
  <si>
    <t>TERMINAL BT 400 SPADE ESTANHADO IMP</t>
  </si>
  <si>
    <t>TERMINAL BT 400 SPADE IND</t>
  </si>
  <si>
    <t>TERMINAL BT 400A GRAMPO ESTANHADO</t>
  </si>
  <si>
    <t>TERMINAL BT 400A GRAMPO ESTANHADO IMP</t>
  </si>
  <si>
    <t>TERMINAL BT 800 SPADE IND</t>
  </si>
  <si>
    <t>TERMINAL BT 800A SPADE AMT</t>
  </si>
  <si>
    <t>TERMINAL BT 800A SPADE AMT IMP</t>
  </si>
  <si>
    <t>TERMINAL BT 800A SPADE EST. IND</t>
  </si>
  <si>
    <t>TERMINAL BT 800A SPADE ESTANHADO</t>
  </si>
  <si>
    <t>TERMINAL BT 800A SPADE ESTANHADO IMP</t>
  </si>
  <si>
    <t>P. CORRUGADO 600 X 15 X 150MM</t>
  </si>
  <si>
    <t>KIT TERMINAL AT PARTE SUPERIOR AMT IMP</t>
  </si>
  <si>
    <t>P. CORRUGADO 400 X 22 X 150MM</t>
  </si>
  <si>
    <t>P. CORRUGADO 500 X 30 X 150MM</t>
  </si>
  <si>
    <t>P. CORRUGADO 400 X 23 X 150MM</t>
  </si>
  <si>
    <t>P. CORRUGADO 400 X 15 X 150MM</t>
  </si>
  <si>
    <t>P. CORRUGADO 400 X 16 X 150MM</t>
  </si>
  <si>
    <t>P. CORRUGADO 400 X 34 X 150MM</t>
  </si>
  <si>
    <t>P. CORRUGADO 700 X 20 X 200MM</t>
  </si>
  <si>
    <t>P. CORRUGADO 600 X 12 X 100MM</t>
  </si>
  <si>
    <t>P. CORRUGADO 1000 X 31 X 330MM</t>
  </si>
  <si>
    <t>P.CORRUGADO 1000 X 11 X 330MM</t>
  </si>
  <si>
    <t>FIO ALUM. 3CP 5,0 X 8,5 IMP</t>
  </si>
  <si>
    <t>P. CORRUGADO 500 X 5 X 120MM</t>
  </si>
  <si>
    <t>P. CORRUGADO 1000 X 13 X 100MM</t>
  </si>
  <si>
    <t>P. CORRUGADO 1100 X 14 X 90MM</t>
  </si>
  <si>
    <t>P. CORRUGADO 1100 X 35 X 230MM</t>
  </si>
  <si>
    <t>P. CORRUGADO 800 X 12 X 80MM</t>
  </si>
  <si>
    <t>P. CORRUGADO 800 X 31 X 230MM</t>
  </si>
  <si>
    <t>P. CORRUGADO 800 X 32 X 230MM</t>
  </si>
  <si>
    <t>P. CORRUGADO 800 X 13 X 80MM</t>
  </si>
  <si>
    <t>P.CORRUGADO 800 X 34 X 230MM</t>
  </si>
  <si>
    <t>P. CORRUGADO 1100 X 34 X 230MM</t>
  </si>
  <si>
    <t>P. CORRUGADO 1100 X 13 X 100MM</t>
  </si>
  <si>
    <t>P. CORRUGADO 1000 X 32 X 260MM</t>
  </si>
  <si>
    <t>P. CORRUGADO 700 X 28 X 250MM</t>
  </si>
  <si>
    <t>P. CORRUGADO 700 X 11 X 100MM</t>
  </si>
  <si>
    <t>P. CORRUGADO 800 X 29 X 300MM</t>
  </si>
  <si>
    <t>P. CORRUGADO 900 X 32 X 310MM</t>
  </si>
  <si>
    <t>P. CORRUGADO 1100 X 32 X 190MM</t>
  </si>
  <si>
    <t>P. CORRUGADO 1100 X 14 X 190MM</t>
  </si>
  <si>
    <t>P. CORRUGADO 500 X 20 X 150MM</t>
  </si>
  <si>
    <t>P. CORRUGADO 500 X 10 X 120MM</t>
  </si>
  <si>
    <t>P. CORRUGADO 600 X 20 X 150MM</t>
  </si>
  <si>
    <t>P. CORRUGADO 500 X 15 X 120MM</t>
  </si>
  <si>
    <t>P. CORRUGADO 600 X 5 X 120MM</t>
  </si>
  <si>
    <t>P. CORRUGADO 600 X 14 X 180MM</t>
  </si>
  <si>
    <t>P. CORRUGADO 600 X 24 X 240MM</t>
  </si>
  <si>
    <t>P. CORRUGADO 700 X 24 X 240MM</t>
  </si>
  <si>
    <t>P. CORRUGADO 800 X 12 X 130MM</t>
  </si>
  <si>
    <t>P. CORRUGADO 600 X 12 X 150MM</t>
  </si>
  <si>
    <t>P. CORRUGADO 700 X 16 X 200MM</t>
  </si>
  <si>
    <t>P. CORRUGADO 900 X 26 X 250MM</t>
  </si>
  <si>
    <t>P. CORRUGADO 900 X 11 X 250MM</t>
  </si>
  <si>
    <t>P. CORRUGADO 400 X 25 X 160MM</t>
  </si>
  <si>
    <t>KIT COMP. BT 160A GRAMPO INOX IND - ISOL.IMP</t>
  </si>
  <si>
    <t>P. CORRUGADO 600 X 10 X 100MM</t>
  </si>
  <si>
    <t>P. CORRUGADO 900 X 10 X 200MM</t>
  </si>
  <si>
    <t>P. CORRUGADO 900 X 17 X 150MM</t>
  </si>
  <si>
    <t xml:space="preserve">P. CORRUGADO 700 X 7 X 100MM </t>
  </si>
  <si>
    <t>P. CORRUGADO 900 X 13 X 130 MM</t>
  </si>
  <si>
    <t xml:space="preserve">KIT TERMINAL BT 400A SPADE IND </t>
  </si>
  <si>
    <t xml:space="preserve">KIT TERMINAL BT 400A GRAMPO AMT  </t>
  </si>
  <si>
    <t xml:space="preserve">KIT TERMINAL BT 160A GRAMPO INOX AMT </t>
  </si>
  <si>
    <t>KIT TERMINAL BT 160A ESPADE IND</t>
  </si>
  <si>
    <t>VERG.RED.LATAO 377 1/2 DURO 38,100</t>
  </si>
  <si>
    <t>VERG.RED.LATAO 377 1/2 DURO 50,800</t>
  </si>
  <si>
    <t>VERG.RED.LATAO 377 1/2 DURO 28,570</t>
  </si>
  <si>
    <t>VERG.RED.LATAO 377 1/2 DURO 25,400</t>
  </si>
  <si>
    <t>VERG.RED.LATAO 377 1/2 DURO 15,880</t>
  </si>
  <si>
    <t>VERG.RED.COBRE 110 1/2 21,900 DURO</t>
  </si>
  <si>
    <t>VERG.RED.COBRE 110 1/2 14,50 DURO</t>
  </si>
  <si>
    <t>ANEL DA FLANGE C/ FURO OXIDADO</t>
  </si>
  <si>
    <t xml:space="preserve">KIT TERMINAL BT 400 SPADE AMT </t>
  </si>
  <si>
    <t xml:space="preserve">P. CORRUGADO 600 X 18 X 180MM </t>
  </si>
  <si>
    <t>P. CORRUGADO 700 X 30 X 150MM</t>
  </si>
  <si>
    <t>P. CORRUGADO 600 X 15 X 100MM</t>
  </si>
  <si>
    <t>P. CORRUGADO 600 X 32 X 100MM</t>
  </si>
  <si>
    <t>P. CORRUGADO 300 X 6 X 100MM</t>
  </si>
  <si>
    <t>P. CORRUGADO 700 X 14 X 100MM</t>
  </si>
  <si>
    <t>KIT TERMINAL  BT 160 SPADE AMT</t>
  </si>
  <si>
    <t>KIT TERMINAL  BT 400 SPADE AMT</t>
  </si>
  <si>
    <t>P. CORRUGADO 600 X 14 X 120MM</t>
  </si>
  <si>
    <t>P. CORRUGADO 500 X 14 X 150MM</t>
  </si>
  <si>
    <t>P. CORRUGADO 700 X 26 X 290MM</t>
  </si>
  <si>
    <t>P. CORRUGADO 600 X 26 X 240MM</t>
  </si>
  <si>
    <t xml:space="preserve">KIT TERMINAL AT IND - C/ FLANGE </t>
  </si>
  <si>
    <t>MAQUINAS</t>
  </si>
  <si>
    <t>PRODUTO</t>
  </si>
  <si>
    <t>OPERADOR</t>
  </si>
  <si>
    <t>GRAMPO 400 (USINAGEM)</t>
  </si>
  <si>
    <t>SPADE 400 (FORJA)</t>
  </si>
  <si>
    <t>GRAMPO 160 (FORJA)</t>
  </si>
  <si>
    <t>SPADE 400 (REBARBA)</t>
  </si>
  <si>
    <t>P. CABO BT 160 (FORJA)</t>
  </si>
  <si>
    <t>SPADE 400 (SOLDA)</t>
  </si>
  <si>
    <t>GRAMPO 160 (SOLDA)</t>
  </si>
  <si>
    <t>HASTE 160 (CORTE)</t>
  </si>
  <si>
    <t>HASTE 160 (LAMINAÇÃO)</t>
  </si>
  <si>
    <t>SPADE 400 (USINAGEM)</t>
  </si>
  <si>
    <t>P. CABO BT 160 (REBAIXO)</t>
  </si>
  <si>
    <t>GRAMPO 160 (USINAGEM)</t>
  </si>
  <si>
    <t>P. CABO BT 160 (FURO)</t>
  </si>
  <si>
    <t>GRAMPO 160 (CORTE)</t>
  </si>
  <si>
    <t>GRAMPO 160 (REBARBA)</t>
  </si>
  <si>
    <t>SPADE 160 (CORTE)</t>
  </si>
  <si>
    <t>SPADE 160 (FORJA)</t>
  </si>
  <si>
    <t>SPADE 160 (REBARBA)</t>
  </si>
  <si>
    <t>SPADE 160 (USINAGEM)</t>
  </si>
  <si>
    <t>SPADE 160 (SOLDA)</t>
  </si>
  <si>
    <t>GRAMPO 400 (CORTE)</t>
  </si>
  <si>
    <t>GRAMPO 400 (FORJA)</t>
  </si>
  <si>
    <t>GRAMPO 400 (REBARBA)</t>
  </si>
  <si>
    <t>GRAMPO 400 (SOLDA)</t>
  </si>
  <si>
    <t>SPADE 400 (CORTE)</t>
  </si>
  <si>
    <t>SPADE 800 (CORTE)</t>
  </si>
  <si>
    <t>SPADE 800 (FORJA)</t>
  </si>
  <si>
    <t>SPADE 800 (REBARBA)</t>
  </si>
  <si>
    <t>SPADE 800 (USINAGEM)</t>
  </si>
  <si>
    <t>SPADE 800 (SOLDA)</t>
  </si>
  <si>
    <t>HASTE 400 (CORTE)</t>
  </si>
  <si>
    <t>HASTE 400 (LAMINAÇÃO)</t>
  </si>
  <si>
    <t>HASTE 800 (CORTE)</t>
  </si>
  <si>
    <t>HASTE 800 (LAMINAÇÃO)</t>
  </si>
  <si>
    <t>P. CABO BT 160 (CORTE)</t>
  </si>
  <si>
    <t>TERMINAL AT (CORTE)</t>
  </si>
  <si>
    <t>PINO CONDUTOR (CORTE)</t>
  </si>
  <si>
    <t>P. CABO AT (REBAIXO)</t>
  </si>
  <si>
    <t>P. CABO AT (CORTE)</t>
  </si>
  <si>
    <t>P. CABO AT (FORJA)</t>
  </si>
  <si>
    <t>P. CABO AT (REBARBA)</t>
  </si>
  <si>
    <t>P. CABO AT (FURO)</t>
  </si>
  <si>
    <t>P. CABO AT (LAMINAÇÃO)</t>
  </si>
  <si>
    <t>P. CABO BT 160 (REBARBA)</t>
  </si>
  <si>
    <t>P. CABO BT 160 (LAMINAÇÃO)</t>
  </si>
  <si>
    <t>PRODUTOS</t>
  </si>
  <si>
    <t>P. CABO BT 400 (LAMINAÇÃO)</t>
  </si>
  <si>
    <t>P. CABO BT 400 (REBARBA)</t>
  </si>
  <si>
    <t>P. CABO BT 400 (FORJA)</t>
  </si>
  <si>
    <t>P. CABO BT 400 (REBAIXO)</t>
  </si>
  <si>
    <t>P. CABO BT 400 (CORTE)</t>
  </si>
  <si>
    <t>P. CABO BT 400 (FURO)</t>
  </si>
  <si>
    <t>TERMINAL AT (FORJA)</t>
  </si>
  <si>
    <t>TERMINAL AT (REBARBA)</t>
  </si>
  <si>
    <t>TERMINAL AT (USINAGEM)</t>
  </si>
  <si>
    <t>PINO CONDUTOR (REBAIXO)</t>
  </si>
  <si>
    <t>PINO CONDUTOR (REBARBA)</t>
  </si>
  <si>
    <t>PINO CONDUTOR (FORJA)</t>
  </si>
  <si>
    <t>PINO CONDUTOR (LAMINAÇÃO)</t>
  </si>
  <si>
    <t>PRESILHA L</t>
  </si>
  <si>
    <t>TIAGO</t>
  </si>
  <si>
    <t>PRODUT. %</t>
  </si>
  <si>
    <t>CLAUDINEI</t>
  </si>
  <si>
    <t>PRESILHA L (CORTE)</t>
  </si>
  <si>
    <t>PRESILHA INFERIOR (CORTE)</t>
  </si>
  <si>
    <t>RENATO</t>
  </si>
  <si>
    <t>DHIEGO</t>
  </si>
  <si>
    <t>DANIEL</t>
  </si>
  <si>
    <t>VAGNER</t>
  </si>
  <si>
    <t>RAFAEL</t>
  </si>
  <si>
    <t>PATRICIA</t>
  </si>
  <si>
    <t>ALEX</t>
  </si>
  <si>
    <t>FORJA 1</t>
  </si>
  <si>
    <t>FORJA 2</t>
  </si>
  <si>
    <t>FORJA 3</t>
  </si>
  <si>
    <t>FORJA 4</t>
  </si>
  <si>
    <t>CNC 1</t>
  </si>
  <si>
    <t>CNC 2</t>
  </si>
  <si>
    <t>CNC 3</t>
  </si>
  <si>
    <t>CNC 4</t>
  </si>
  <si>
    <t>CNC 5</t>
  </si>
  <si>
    <t>SOLDA 1</t>
  </si>
  <si>
    <t>SOLDA 2</t>
  </si>
  <si>
    <t>PH 1</t>
  </si>
  <si>
    <t>PH 2</t>
  </si>
  <si>
    <t>PP 80</t>
  </si>
  <si>
    <t>PP 110</t>
  </si>
  <si>
    <t>SERRA 1</t>
  </si>
  <si>
    <t>LAMI. 1</t>
  </si>
  <si>
    <t>COLABORADORES</t>
  </si>
  <si>
    <t>QTD PRODUZIDA</t>
  </si>
  <si>
    <t>HORA
INÍCIO</t>
  </si>
  <si>
    <t>HORA
FIM</t>
  </si>
  <si>
    <t>HORAS TRABALHADAS</t>
  </si>
  <si>
    <t>PROD. HORA</t>
  </si>
  <si>
    <t>HORAS PARADAS</t>
  </si>
  <si>
    <t>JOÃO BATISTA</t>
  </si>
  <si>
    <t>REGINALDO</t>
  </si>
  <si>
    <t>AGNALDO</t>
  </si>
  <si>
    <t>JOSÉ MARIO</t>
  </si>
  <si>
    <t>DECRIÇÃO</t>
  </si>
  <si>
    <t>META DIA</t>
  </si>
  <si>
    <t>META HORA</t>
  </si>
  <si>
    <t>FORJA</t>
  </si>
  <si>
    <t>CNC</t>
  </si>
  <si>
    <t>SOLDA</t>
  </si>
  <si>
    <t>VINICIUS</t>
  </si>
  <si>
    <t>EDMAR</t>
  </si>
  <si>
    <t>ALEXANDRO</t>
  </si>
  <si>
    <t>JOÃO EDUARDO</t>
  </si>
  <si>
    <t>MAQUINA</t>
  </si>
  <si>
    <t>DATA</t>
  </si>
  <si>
    <t>PRODUÇÃO</t>
  </si>
  <si>
    <t>PRODUCAO</t>
  </si>
  <si>
    <t>PRODUÇÃO TERMINAIS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</si>
  <si>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</si>
  <si>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</si>
  <si>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</si>
  <si>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</si>
  <si>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</si>
  <si>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</si>
  <si>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</si>
  <si>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</si>
  <si>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</si>
  <si>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</si>
  <si>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</si>
  <si>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</si>
  <si>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</si>
  <si>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OPERAÇÃO</t>
  </si>
  <si>
    <t>HORA/DIA</t>
  </si>
  <si>
    <t>TOTAL HORA</t>
  </si>
  <si>
    <t>Rótulos de Linha</t>
  </si>
  <si>
    <t>Total Geral</t>
  </si>
  <si>
    <t>Soma de QTD PRODUZIDA</t>
  </si>
  <si>
    <t>JOÃO PAULO</t>
  </si>
  <si>
    <t>CABECA TERMINAL BT 400A GRAMPO</t>
  </si>
  <si>
    <t>CABECA TERMINAL BT 400A GRAMPO IMP</t>
  </si>
  <si>
    <t>FIO ALUM. 3CP 5,0 X 1,0 IMP</t>
  </si>
  <si>
    <t>FIO ALUM. 3CP 6,0 X 10,0 IMP</t>
  </si>
  <si>
    <t>FIO ALUM. 4CP 3,5 X 4,0 IMP</t>
  </si>
  <si>
    <t>FIO ALUM. NU 6,0 X 10,0 IMP</t>
  </si>
  <si>
    <t>HASTE AT FORJADO</t>
  </si>
  <si>
    <t>HASTE AT LATAO P/ CONECTOR 15KV</t>
  </si>
  <si>
    <t>HASTE TERMINAL 160A</t>
  </si>
  <si>
    <t>HASTE TERMINAL 160A IMP</t>
  </si>
  <si>
    <t>HASTE TERMINAL 400A</t>
  </si>
  <si>
    <t>HASTE TERMINAL 400A IMP</t>
  </si>
  <si>
    <t>HASTE TERMINAL 800A</t>
  </si>
  <si>
    <t>HASTE TERMINAL 800A IMP</t>
  </si>
  <si>
    <t>KIT AT 15KV T1 AMT BR</t>
  </si>
  <si>
    <t>KIT AT 15KV T1 AMT IMP</t>
  </si>
  <si>
    <t>KIT AT 15KV T1 AMT IMP - ISOL. NAC</t>
  </si>
  <si>
    <t>KIT AT 15KV T1 C/ FLANGE HASTE BR</t>
  </si>
  <si>
    <t>KIT AT 15KV T1 C/FLANGE HASTE C/LUVA  ARR. INOX BR</t>
  </si>
  <si>
    <t>KIT AT 15KV T1 C/FLANGE HASTE C/LUVA  ARR.INOX IMP</t>
  </si>
  <si>
    <t>KIT AT 15KV T1 C/FLANGE IMP AMT</t>
  </si>
  <si>
    <t>KIT AT 15KV T1 C/INOX AMT BR</t>
  </si>
  <si>
    <t>KIT AT 15KV T1 C/INOX AMT IMP</t>
  </si>
  <si>
    <t>KIT AT 15KV T1 C/INOX AMT IND BR</t>
  </si>
  <si>
    <t>KIT AT 15KV T2 AMT BR</t>
  </si>
  <si>
    <t>KIT AT 15KV T2 C/ FLANGE-HASTE S/ LUVA BR</t>
  </si>
  <si>
    <t>KIT AT 15KV T2 C/FLANGE HASTE C/LUVA  ARR.INOX</t>
  </si>
  <si>
    <t>KIT AT 25 KV T1 INOX - IND</t>
  </si>
  <si>
    <t>KIT AT 25KV T1 AMT BR</t>
  </si>
  <si>
    <t>KIT AT 25KV T1 AMT IMP</t>
  </si>
  <si>
    <t>KIT AT 25KV T1 C/ FLANGE HASTE BR</t>
  </si>
  <si>
    <t>KIT AT 25KV T1 C/FLANGE HASTE C/LUVA  ARR.INOX BR</t>
  </si>
  <si>
    <t>KIT AT 25KV T1 C/FLANGE HASTE C/LUVA  ARR.INOX IMP</t>
  </si>
  <si>
    <t>KIT AT 25KV T1 C/FLANGE IMP AMT</t>
  </si>
  <si>
    <t>KIT AT 25KV T1 C/INOX AMT BR</t>
  </si>
  <si>
    <t>KIT AT 25KV T1 C/INOX AMT IMP</t>
  </si>
  <si>
    <t>KIT AT 25KV T1 C/INOX AMT IND BR</t>
  </si>
  <si>
    <t>KIT AT 25KV T2 AMT BR</t>
  </si>
  <si>
    <t>KIT AT 25KV T2 C/ FLANGE - HASTE SEM LUVA</t>
  </si>
  <si>
    <t>KIT AT 25KV T2 C/ FLANGE-HASTE C/ LUVA  ARR. INOX</t>
  </si>
  <si>
    <t>KIT AT 25KV T2 C/FLANGE HASTE C/LUVA  ARR.INOX IMP</t>
  </si>
  <si>
    <t>KIT AT 25KV T2 C/INOX AMT BR</t>
  </si>
  <si>
    <t>KIT AT 25KV T2 C/INOX AMT IND BR</t>
  </si>
  <si>
    <t>KIT AT 36,2 KV 12SAIAS T1 C/ FLANGE HASTE BR</t>
  </si>
  <si>
    <t>KIT AT 36,2KV T1 12 SAIAS AMT BR</t>
  </si>
  <si>
    <t>KIT AT 36,2KV T1 12 SAIAS AMT IMP</t>
  </si>
  <si>
    <t>KIT AT 36,2KV T1 12 SAIAS C/INOX AMT BR</t>
  </si>
  <si>
    <t>KIT AT 36,2KV T1 12 SAIAS C/INOX AMT IMP</t>
  </si>
  <si>
    <t>KIT AT 36,2KV T1-12SAIAS C/INOX AMT IND BR</t>
  </si>
  <si>
    <t>KIT AT 36,2KV T2 - 12SAIAS C/INOX IND BR</t>
  </si>
  <si>
    <t>KIT AT 36,2KV T2 12 SAIAS AMT BR</t>
  </si>
  <si>
    <t>KIT AT 36KV T1 12 SAIAS C/ LUVA(INOX) C/ FLANGE BR</t>
  </si>
  <si>
    <t>KIT AT 36KV T1 12 SAIAS C/ LUVA(INOX) C/FLANGE IMP</t>
  </si>
  <si>
    <t>KIT AT 36KV T2 12 SAIAS C/ LUVA(INOX) C/ FLANGE BR</t>
  </si>
  <si>
    <t>KIT AT 36KVT1 12SAIAS  AMT IMP</t>
  </si>
  <si>
    <t>KIT BT 160 GRAMPO TERM. IMP</t>
  </si>
  <si>
    <t>KIT BT 160A GRAMPO AMT IMP - ISOL. NAC</t>
  </si>
  <si>
    <t>KIT BT 160A SPADE AMT IMP - ISOL. NAC</t>
  </si>
  <si>
    <t>KIT BUCHA  AT 36,2KV T1 12 SAIAS IMP</t>
  </si>
  <si>
    <t>KIT BUCHA AT 15KV T1 C/FLANGE BR</t>
  </si>
  <si>
    <t>KIT BUCHA AT 15KV T1 C/FLANGE IMP</t>
  </si>
  <si>
    <t>KIT BUCHA AT 15KV T1 SEM/ FLANGE IMP</t>
  </si>
  <si>
    <t>P. CORRUGADO 400 X 33 X 150MM</t>
  </si>
  <si>
    <t>P. CORRUGADO 400 X 17 X 150MM</t>
  </si>
  <si>
    <t>P. CORRUGADO 400 X 10 X 120MM</t>
  </si>
  <si>
    <t>P. CORRUGADO 700 X 15 X 150MM</t>
  </si>
  <si>
    <t>P. CORRUGADO 1400 X 14 X 250MM</t>
  </si>
  <si>
    <t>P. CORRUGADO 1400 X 34 X 280MM</t>
  </si>
  <si>
    <t>PINO CONDUTOR AT C/ TUBO FORJADO</t>
  </si>
  <si>
    <t>PINO CONDUTOR AT C/TUBO FORJADO IMP</t>
  </si>
  <si>
    <t>PINO CONDUTOR AT FORJADO</t>
  </si>
  <si>
    <t>PINO CONDUTOR AT FORJADO IMP</t>
  </si>
  <si>
    <t>PRENSA CABO AT FORJADO</t>
  </si>
  <si>
    <t>PRENSA CABO AT FORJADO IMP</t>
  </si>
  <si>
    <t>PRENSA CABO BT 160A  FORJADO</t>
  </si>
  <si>
    <t>PRENSA CABO BT 160A  FORJADO IMP</t>
  </si>
  <si>
    <t>PRENSA CABO BT 400A  FORJADO</t>
  </si>
  <si>
    <t>PRENSA CABO BT 400A  FORJADO IMP</t>
  </si>
  <si>
    <t>TERMINAL AT FORJADO</t>
  </si>
  <si>
    <t>TERMINAL AT FORJADO IMP</t>
  </si>
  <si>
    <t>TERMINAL BT 160A GRAMPO FORJADO</t>
  </si>
  <si>
    <t>TERMINAL BT 160A GRAMPO FORJADO IMP</t>
  </si>
  <si>
    <t>TERMINAL BT 160A SPADE FORJADO</t>
  </si>
  <si>
    <t>TERMINAL BT 160A SPADE FORJADO IMP</t>
  </si>
  <si>
    <t>TERMINAL BT 400A GRAMPO FORJADO</t>
  </si>
  <si>
    <t>TERMINAL BT 400A GRAMPO FORJADO IMP</t>
  </si>
  <si>
    <t>TERMINAL BT 400A SPADE FORJADO</t>
  </si>
  <si>
    <t>TERMINAL BT 400A SPADE FORJADO IMP</t>
  </si>
  <si>
    <t>TERMINAL BT 800A SPADE FORJADO</t>
  </si>
  <si>
    <t>TERMINAL BT 800A SPADE FORJADO IMP</t>
  </si>
  <si>
    <t>P. CORRUTADO 800 X 29 X 230MM</t>
  </si>
  <si>
    <t>P. CORRUTADO 800 X 11 X 80MM</t>
  </si>
  <si>
    <t>P. CORRUGADO 1200 X 33 X 370MM</t>
  </si>
  <si>
    <t>P. CORRUGADO 1200 X 28 X 370MM</t>
  </si>
  <si>
    <t>P. CORRUGADO 600 X 18 X 250MM</t>
  </si>
  <si>
    <t>P. CORRUGADO 700 X 20 X 150MM</t>
  </si>
  <si>
    <t>P. CORRUGADO 600 X 24 X 280MM</t>
  </si>
  <si>
    <t>P. CORRUGADO 700 X 26 X 300MM</t>
  </si>
  <si>
    <t>NUCLEO AMORFO M 170-240-47-93</t>
  </si>
  <si>
    <t>NUCLEO AMORFO M 170-260-51,5-108</t>
  </si>
  <si>
    <t>NUCLEO AMORFO M 170-330-70,5-137</t>
  </si>
  <si>
    <t>NUCLEO AMORFO M 142-250-54-90</t>
  </si>
  <si>
    <t>NUCLEO AMORFO M 142-235-64,5-118</t>
  </si>
  <si>
    <t>NUCLEO AMORFO M 142-260-61,5-115</t>
  </si>
  <si>
    <t>P. CORRUGADO 1300 X 38 X 350MM</t>
  </si>
  <si>
    <t>P. CORRUGADO 1300 X 32 X 150MM</t>
  </si>
  <si>
    <t xml:space="preserve">KIT TERMINAL BT 160A GRAMPO INOX - IND            </t>
  </si>
  <si>
    <t>KIT AT 36KV T1 C/INOX IND - ISOL IMP</t>
  </si>
  <si>
    <t>KIT AT 15KV T1 C/INOX IND - ISOL IMP</t>
  </si>
  <si>
    <t>KIT COMP. BT 160A GRAMPO INOX AMT - ISOL.IMP</t>
  </si>
  <si>
    <t>KIT AT 15KV T2 C/INOX - IND</t>
  </si>
  <si>
    <t>KIT TERMINAL AT INOX IND - C/ FLANGE</t>
  </si>
  <si>
    <t>KIT TERMINAL  BT 400A GRAMPO - IND</t>
  </si>
  <si>
    <t>KIT AT 25KV T1 C/INOX IND - ISOL IMP</t>
  </si>
  <si>
    <t>KIT TERMINAL  BT 1,3KV 800A SPADE - IND</t>
  </si>
  <si>
    <t>KIT COMPL. BT 160A SPADE IND - ISOL. IMP</t>
  </si>
  <si>
    <t>KIT AT 25KV T2 IND</t>
  </si>
  <si>
    <t>KIT TERMINAL BT 400 GRAMPO INOX AMT</t>
  </si>
  <si>
    <t xml:space="preserve">NUCLEO DE METAL AMORFO M-213-510-90-110           </t>
  </si>
  <si>
    <t xml:space="preserve">FIO ALUM. NU 3,0 X 3,5 NAC                        </t>
  </si>
  <si>
    <t>P. CORRUGADO 500 X 18 X 170MM</t>
  </si>
  <si>
    <t>KIT TERMINAL AT C/FLANGE - AMT</t>
  </si>
  <si>
    <t>FIO ALUM. 3CP 5,0X7,5 IMP</t>
  </si>
  <si>
    <t>FIO ALUM. 4CP 3,0X9,0 IMP</t>
  </si>
  <si>
    <t>SANDRO</t>
  </si>
  <si>
    <t>PEÇAS</t>
  </si>
  <si>
    <t>PESO KGS</t>
  </si>
  <si>
    <t>X</t>
  </si>
  <si>
    <t>REALIZADO</t>
  </si>
  <si>
    <t>%</t>
  </si>
  <si>
    <t>VALMIR</t>
  </si>
  <si>
    <t>LEANDRO</t>
  </si>
  <si>
    <t xml:space="preserve"> MOTIVO PARADA</t>
  </si>
  <si>
    <t>WILSON</t>
  </si>
  <si>
    <t>MÁQUINAS</t>
  </si>
  <si>
    <t>MATEUS</t>
  </si>
  <si>
    <t>AGUINALDO</t>
  </si>
  <si>
    <t>PERCAS</t>
  </si>
  <si>
    <t>PESO</t>
  </si>
  <si>
    <t>TORNO</t>
  </si>
  <si>
    <t>PRODUT. %2</t>
  </si>
  <si>
    <t>HORAS "ÚTEIS"</t>
  </si>
  <si>
    <t>HORA/DIA2</t>
  </si>
  <si>
    <t>HORAS NO DIA</t>
  </si>
  <si>
    <r>
      <t xml:space="preserve">CAP. PRODUÇÃO 
</t>
    </r>
    <r>
      <rPr>
        <b/>
        <sz val="11"/>
        <color theme="1"/>
        <rFont val="Calibri"/>
        <family val="2"/>
        <scheme val="minor"/>
      </rPr>
      <t>(Hrs trabalhadas)</t>
    </r>
  </si>
  <si>
    <r>
      <t xml:space="preserve">CAP. PRODUÇÃO
</t>
    </r>
    <r>
      <rPr>
        <b/>
        <sz val="11"/>
        <color theme="1"/>
        <rFont val="Calibri"/>
        <family val="2"/>
        <scheme val="minor"/>
      </rPr>
      <t>(Turno completo)</t>
    </r>
  </si>
  <si>
    <t>RAÍ</t>
  </si>
  <si>
    <t>ANDERSON</t>
  </si>
  <si>
    <t>KILBER</t>
  </si>
  <si>
    <t>EDILSON</t>
  </si>
  <si>
    <t>JOAO LOPES</t>
  </si>
  <si>
    <t>TREINAMENTO</t>
  </si>
  <si>
    <t>FLANGE</t>
  </si>
  <si>
    <t>CENTRIFUGA</t>
  </si>
  <si>
    <t>SECAR CAVACO</t>
  </si>
  <si>
    <t>RETRABALHO</t>
  </si>
  <si>
    <t>-</t>
  </si>
  <si>
    <t>THIAGO ELIAS</t>
  </si>
  <si>
    <t>QTD</t>
  </si>
  <si>
    <t>PRODUTIVIDADE POR MAQUINAS (TURNO ´´B``)</t>
  </si>
  <si>
    <t>DATA : 25/05/2026                    +B1+A1:J11+A1:K11+A1:T11+A1:J11</t>
  </si>
  <si>
    <t>JOÃO PEDRO</t>
  </si>
  <si>
    <t>FABIO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</si>
</sst>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00000"/>
    <numFmt numFmtId="165" formatCode="0.0"/>
    <numFmt numFmtId="166" formatCode="h:mm;@"/>
    <numFmt numFmtId="167" formatCode="0.0%"/>
    <numFmt numFmtId="168" formatCode="[$-F400]h:mm:ss\ AM/PM"/>
    <numFmt numFmtId="169" formatCode="d/m/yy\ h:mm;@"/>
    <numFmt numFmtId="170" formatCode="_-* #,##0_-;\-* #,##0_-;_-* &quot;-&quot;??_-;_-@_-"/>
    <numFmt numFmtId="171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4" borderId="3" xfId="0" applyNumberFormat="1" applyFont="1" applyFill="1" applyBorder="1" applyAlignment="1" applyProtection="1">
      <alignment horizontal="center"/>
      <protection locked="0"/>
    </xf>
    <xf numFmtId="164" fontId="4" fillId="4" borderId="1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164" fontId="4" fillId="4" borderId="6" xfId="0" applyNumberFormat="1" applyFont="1" applyFill="1" applyBorder="1" applyAlignment="1" applyProtection="1">
      <alignment horizontal="center"/>
      <protection locked="0"/>
    </xf>
    <xf numFmtId="164" fontId="4" fillId="14" borderId="1" xfId="0" applyNumberFormat="1" applyFont="1" applyFill="1" applyBorder="1" applyAlignment="1" applyProtection="1">
      <alignment horizontal="center"/>
      <protection locked="0"/>
    </xf>
    <xf numFmtId="0" fontId="2" fillId="5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70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4" fillId="2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4" fillId="14" borderId="22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>
      <alignment horizontal="left" vertical="center"/>
    </xf>
    <xf numFmtId="0" fontId="0" fillId="3" borderId="19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4" fillId="3" borderId="1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5" fillId="3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/>
    </xf>
    <xf numFmtId="0" fontId="4" fillId="4" borderId="1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5" fillId="3" borderId="1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 applyProtection="1">
      <alignment horizontal="center"/>
      <protection locked="0"/>
    </xf>
    <xf numFmtId="0" fontId="16" fillId="18" borderId="28" xfId="0" applyFont="1" applyFill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center"/>
      <protection locked="0"/>
    </xf>
    <xf numFmtId="166" fontId="4" fillId="2" borderId="3" xfId="0" applyNumberFormat="1" applyFont="1" applyFill="1" applyBorder="1" applyAlignment="1" applyProtection="1">
      <alignment horizontal="center"/>
      <protection locked="0"/>
    </xf>
    <xf numFmtId="0" fontId="0" fillId="19" borderId="0" xfId="0" applyFill="1"/>
    <xf numFmtId="0" fontId="7" fillId="4" borderId="29" xfId="0" applyFont="1" applyFill="1" applyBorder="1" applyAlignment="1" applyProtection="1">
      <alignment horizontal="center"/>
      <protection locked="0"/>
    </xf>
    <xf numFmtId="164" fontId="4" fillId="4" borderId="30" xfId="0" applyNumberFormat="1" applyFont="1" applyFill="1" applyBorder="1" applyAlignment="1" applyProtection="1">
      <alignment horizontal="center"/>
      <protection locked="0"/>
    </xf>
    <xf numFmtId="164" fontId="4" fillId="4" borderId="31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/>
    </xf>
    <xf numFmtId="0" fontId="0" fillId="4" borderId="1" xfId="0" applyFill="1" applyBorder="1"/>
    <xf numFmtId="0" fontId="17" fillId="4" borderId="29" xfId="0" applyFont="1" applyFill="1" applyBorder="1" applyAlignment="1" applyProtection="1">
      <alignment horizontal="center"/>
      <protection locked="0"/>
    </xf>
    <xf numFmtId="0" fontId="15" fillId="4" borderId="1" xfId="0" applyFont="1" applyFill="1" applyBorder="1"/>
    <xf numFmtId="0" fontId="2" fillId="0" borderId="28" xfId="0" applyFont="1" applyBorder="1" applyAlignment="1" applyProtection="1">
      <alignment horizontal="center"/>
      <protection locked="0"/>
    </xf>
    <xf numFmtId="0" fontId="16" fillId="10" borderId="32" xfId="0" applyFont="1" applyFill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164" fontId="4" fillId="4" borderId="35" xfId="0" applyNumberFormat="1" applyFont="1" applyFill="1" applyBorder="1" applyAlignment="1" applyProtection="1">
      <alignment horizontal="center"/>
      <protection locked="0"/>
    </xf>
    <xf numFmtId="164" fontId="4" fillId="4" borderId="9" xfId="0" applyNumberFormat="1" applyFont="1" applyFill="1" applyBorder="1" applyAlignment="1" applyProtection="1">
      <alignment horizontal="center"/>
      <protection locked="0"/>
    </xf>
    <xf numFmtId="168" fontId="2" fillId="17" borderId="1" xfId="0" applyNumberFormat="1" applyFont="1" applyFill="1" applyBorder="1" applyAlignment="1">
      <alignment horizontal="center"/>
    </xf>
    <xf numFmtId="1" fontId="4" fillId="9" borderId="3" xfId="0" applyNumberFormat="1" applyFont="1" applyFill="1" applyBorder="1" applyAlignment="1">
      <alignment horizontal="center"/>
    </xf>
    <xf numFmtId="167" fontId="4" fillId="4" borderId="27" xfId="1" applyNumberFormat="1" applyFont="1" applyFill="1" applyBorder="1" applyAlignment="1" applyProtection="1">
      <alignment horizontal="center"/>
    </xf>
    <xf numFmtId="167" fontId="4" fillId="4" borderId="3" xfId="1" applyNumberFormat="1" applyFont="1" applyFill="1" applyBorder="1" applyAlignment="1" applyProtection="1">
      <alignment horizontal="center"/>
    </xf>
    <xf numFmtId="168" fontId="2" fillId="0" borderId="1" xfId="0" applyNumberFormat="1" applyFont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167" fontId="4" fillId="4" borderId="1" xfId="1" applyNumberFormat="1" applyFont="1" applyFill="1" applyBorder="1" applyAlignment="1" applyProtection="1">
      <alignment horizontal="center"/>
    </xf>
    <xf numFmtId="167" fontId="4" fillId="4" borderId="21" xfId="1" applyNumberFormat="1" applyFont="1" applyFill="1" applyBorder="1" applyAlignment="1" applyProtection="1">
      <alignment horizontal="center"/>
    </xf>
    <xf numFmtId="169" fontId="4" fillId="2" borderId="3" xfId="0" applyNumberFormat="1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0" fillId="19" borderId="0" xfId="0" applyFill="1" applyProtection="1">
      <protection locked="0"/>
    </xf>
    <xf numFmtId="0" fontId="0" fillId="19" borderId="0" xfId="0" applyFill="1" applyAlignment="1" applyProtection="1">
      <alignment horizontal="center"/>
      <protection locked="0"/>
    </xf>
    <xf numFmtId="168" fontId="2" fillId="0" borderId="3" xfId="0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Border="1"/>
    <xf numFmtId="14" fontId="0" fillId="0" borderId="3" xfId="0" applyNumberFormat="1" applyBorder="1"/>
    <xf numFmtId="0" fontId="0" fillId="0" borderId="3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/>
    <xf numFmtId="168" fontId="0" fillId="17" borderId="1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164" fontId="4" fillId="14" borderId="36" xfId="0" applyNumberFormat="1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Protection="1">
      <protection locked="0"/>
    </xf>
    <xf numFmtId="0" fontId="2" fillId="0" borderId="37" xfId="0" applyFont="1" applyBorder="1" applyAlignment="1" applyProtection="1">
      <alignment horizontal="center"/>
      <protection locked="0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18" fillId="4" borderId="1" xfId="0" applyFont="1" applyFill="1" applyBorder="1" applyAlignment="1" applyProtection="1">
      <alignment horizontal="center"/>
      <protection locked="0"/>
    </xf>
    <xf numFmtId="0" fontId="4" fillId="4" borderId="23" xfId="0" applyFont="1" applyFill="1" applyBorder="1" applyAlignment="1">
      <alignment horizontal="center" vertical="center"/>
    </xf>
    <xf numFmtId="168" fontId="2" fillId="17" borderId="3" xfId="0" applyNumberFormat="1" applyFont="1" applyFill="1" applyBorder="1" applyAlignment="1">
      <alignment horizontal="center"/>
    </xf>
    <xf numFmtId="168" fontId="0" fillId="17" borderId="3" xfId="0" applyNumberFormat="1" applyFill="1" applyBorder="1" applyAlignment="1">
      <alignment horizontal="center"/>
    </xf>
    <xf numFmtId="2" fontId="0" fillId="17" borderId="3" xfId="0" applyNumberFormat="1" applyFill="1" applyBorder="1" applyAlignment="1">
      <alignment horizontal="center"/>
    </xf>
    <xf numFmtId="0" fontId="0" fillId="17" borderId="1" xfId="0" applyFill="1" applyBorder="1"/>
    <xf numFmtId="14" fontId="0" fillId="17" borderId="1" xfId="0" applyNumberFormat="1" applyFill="1" applyBorder="1"/>
    <xf numFmtId="0" fontId="0" fillId="17" borderId="1" xfId="0" applyFill="1" applyBorder="1" applyAlignment="1">
      <alignment horizontal="center"/>
    </xf>
    <xf numFmtId="1" fontId="0" fillId="19" borderId="0" xfId="0" applyNumberFormat="1" applyFill="1"/>
    <xf numFmtId="14" fontId="0" fillId="19" borderId="0" xfId="0" applyNumberFormat="1" applyFill="1"/>
    <xf numFmtId="3" fontId="4" fillId="4" borderId="1" xfId="0" applyNumberFormat="1" applyFont="1" applyFill="1" applyBorder="1" applyAlignment="1" applyProtection="1">
      <alignment horizontal="center"/>
      <protection locked="0"/>
    </xf>
    <xf numFmtId="0" fontId="2" fillId="0" borderId="38" xfId="0" applyFont="1" applyBorder="1" applyAlignment="1" applyProtection="1">
      <alignment horizontal="center"/>
      <protection locked="0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4" fontId="4" fillId="4" borderId="0" xfId="0" applyNumberFormat="1" applyFont="1" applyFill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9" fillId="16" borderId="16" xfId="0" applyFont="1" applyFill="1" applyBorder="1" applyAlignment="1">
      <alignment horizontal="center" vertical="center"/>
    </xf>
    <xf numFmtId="0" fontId="19" fillId="16" borderId="18" xfId="0" applyFont="1" applyFill="1" applyBorder="1" applyAlignment="1">
      <alignment horizontal="center" vertical="center"/>
    </xf>
    <xf numFmtId="0" fontId="19" fillId="16" borderId="17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1" fontId="13" fillId="0" borderId="2" xfId="0" applyNumberFormat="1" applyFont="1" applyBorder="1" applyAlignment="1">
      <alignment horizontal="center" vertical="center"/>
    </xf>
    <xf numFmtId="171" fontId="13" fillId="0" borderId="14" xfId="0" applyNumberFormat="1" applyFont="1" applyBorder="1" applyAlignment="1">
      <alignment horizontal="center" vertical="center"/>
    </xf>
    <xf numFmtId="171" fontId="13" fillId="0" borderId="15" xfId="0" applyNumberFormat="1" applyFont="1" applyBorder="1" applyAlignment="1">
      <alignment horizontal="center" vertical="center"/>
    </xf>
    <xf numFmtId="171" fontId="13" fillId="0" borderId="12" xfId="0" applyNumberFormat="1" applyFont="1" applyBorder="1" applyAlignment="1">
      <alignment horizontal="center" vertical="center"/>
    </xf>
    <xf numFmtId="171" fontId="13" fillId="0" borderId="0" xfId="0" applyNumberFormat="1" applyFont="1" applyAlignment="1">
      <alignment horizontal="center" vertical="center"/>
    </xf>
    <xf numFmtId="171" fontId="13" fillId="0" borderId="13" xfId="0" applyNumberFormat="1" applyFont="1" applyBorder="1" applyAlignment="1">
      <alignment horizontal="center" vertical="center"/>
    </xf>
    <xf numFmtId="171" fontId="13" fillId="0" borderId="16" xfId="0" applyNumberFormat="1" applyFont="1" applyBorder="1" applyAlignment="1">
      <alignment horizontal="center" vertical="center"/>
    </xf>
    <xf numFmtId="171" fontId="13" fillId="0" borderId="17" xfId="0" applyNumberFormat="1" applyFont="1" applyBorder="1" applyAlignment="1">
      <alignment horizontal="center" vertical="center"/>
    </xf>
    <xf numFmtId="171" fontId="13" fillId="0" borderId="18" xfId="0" applyNumberFormat="1" applyFont="1" applyBorder="1" applyAlignment="1">
      <alignment horizontal="center" vertical="center"/>
    </xf>
    <xf numFmtId="10" fontId="14" fillId="0" borderId="2" xfId="0" applyNumberFormat="1" applyFont="1" applyBorder="1" applyAlignment="1">
      <alignment horizontal="center" vertical="center"/>
    </xf>
    <xf numFmtId="10" fontId="14" fillId="0" borderId="14" xfId="0" applyNumberFormat="1" applyFont="1" applyBorder="1" applyAlignment="1">
      <alignment horizontal="center" vertical="center"/>
    </xf>
    <xf numFmtId="10" fontId="14" fillId="0" borderId="15" xfId="0" applyNumberFormat="1" applyFont="1" applyBorder="1" applyAlignment="1">
      <alignment horizontal="center" vertical="center"/>
    </xf>
    <xf numFmtId="10" fontId="14" fillId="0" borderId="12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0" fontId="14" fillId="0" borderId="13" xfId="0" applyNumberFormat="1" applyFont="1" applyBorder="1" applyAlignment="1">
      <alignment horizontal="center" vertical="center"/>
    </xf>
    <xf numFmtId="10" fontId="14" fillId="0" borderId="16" xfId="0" applyNumberFormat="1" applyFont="1" applyBorder="1" applyAlignment="1">
      <alignment horizontal="center" vertical="center"/>
    </xf>
    <xf numFmtId="10" fontId="14" fillId="0" borderId="17" xfId="0" applyNumberFormat="1" applyFont="1" applyBorder="1" applyAlignment="1">
      <alignment horizontal="center" vertical="center"/>
    </xf>
    <xf numFmtId="10" fontId="14" fillId="0" borderId="18" xfId="0" applyNumberFormat="1" applyFont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16" fillId="10" borderId="10" xfId="0" applyFont="1" applyFill="1" applyBorder="1" applyAlignment="1" applyProtection="1">
      <alignment horizontal="center"/>
      <protection locked="0"/>
    </xf>
    <xf numFmtId="0" fontId="16" fillId="10" borderId="4" xfId="0" applyFont="1" applyFill="1" applyBorder="1" applyAlignment="1" applyProtection="1">
      <alignment horizontal="center"/>
      <protection locked="0"/>
    </xf>
    <xf numFmtId="0" fontId="4" fillId="4" borderId="20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</cellXfs>
  <cellStyles count="10">
    <cellStyle name="Normal" xfId="0" builtinId="0"/>
    <cellStyle name="Porcentagem" xfId="1" builtinId="5"/>
    <cellStyle name="Vírgula" xfId="2" builtinId="3"/>
    <cellStyle name="Vírgula 2" xfId="3" xr:uid="{F29CBE6B-C0B5-41A7-B658-674B2F7E166F}"/>
    <cellStyle name="Vírgula 2 2" xfId="5" xr:uid="{DE587CBF-817C-410C-91F8-FD58179BBC7B}"/>
    <cellStyle name="Vírgula 2 2 2" xfId="9" xr:uid="{7864168C-ADD1-4E19-98CC-7811B36FCD20}"/>
    <cellStyle name="Vírgula 2 3" xfId="7" xr:uid="{91DA6E92-2D4F-4361-9A4B-2F4D5FBDAF4B}"/>
    <cellStyle name="Vírgula 3" xfId="4" xr:uid="{0D04E633-0C04-4049-A3B3-BE950FF84A11}"/>
    <cellStyle name="Vírgula 3 2" xfId="8" xr:uid="{26D52356-FDF2-45E8-8701-D9B1EBE99E5B}"/>
    <cellStyle name="Vírgula 4" xfId="6" xr:uid="{B14702E6-2A6D-48E0-B4C4-78C5630FD945}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D966"/>
          <bgColor rgb="FF000000"/>
        </patternFill>
      </fill>
    </dxf>
    <dxf>
      <numFmt numFmtId="167" formatCode="0.0%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8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8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h:mm;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9" formatCode="d/m/yy\ h:mm;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9" formatCode="d/m/yy\ h:mm;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000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onnections" Target="connections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BD_LANÇAMENTOS!$S$2</c:f>
              <c:strCache>
                <c:ptCount val="1"/>
                <c:pt idx="0">
                  <c:v>HORA/DIA2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BD_LANÇAMENTOS!$A$3:$R$31</c:f>
              <c:multiLvlStrCache>
                <c:ptCount val="29"/>
                <c:lvl>
                  <c:pt idx="0">
                    <c:v>66,4%</c:v>
                  </c:pt>
                  <c:pt idx="1">
                    <c:v>106,6%</c:v>
                  </c:pt>
                  <c:pt idx="2">
                    <c:v>132,4%</c:v>
                  </c:pt>
                  <c:pt idx="3">
                    <c:v>57,6%</c:v>
                  </c:pt>
                  <c:pt idx="4">
                    <c:v>56,7%</c:v>
                  </c:pt>
                  <c:pt idx="5">
                    <c:v>91,3%</c:v>
                  </c:pt>
                  <c:pt idx="6">
                    <c:v>116,5%</c:v>
                  </c:pt>
                  <c:pt idx="7">
                    <c:v>110,6%</c:v>
                  </c:pt>
                  <c:pt idx="9">
                    <c:v>101,4%</c:v>
                  </c:pt>
                  <c:pt idx="13">
                    <c:v>78,0%</c:v>
                  </c:pt>
                  <c:pt idx="14">
                    <c:v>22,0%</c:v>
                  </c:pt>
                  <c:pt idx="15">
                    <c:v>82,7%</c:v>
                  </c:pt>
                  <c:pt idx="16">
                    <c:v>151,8%</c:v>
                  </c:pt>
                  <c:pt idx="17">
                    <c:v>69,8%</c:v>
                  </c:pt>
                  <c:pt idx="18">
                    <c:v>80,7%</c:v>
                  </c:pt>
                  <c:pt idx="19">
                    <c:v>91,2%</c:v>
                  </c:pt>
                  <c:pt idx="20">
                    <c:v>63,8%</c:v>
                  </c:pt>
                  <c:pt idx="21">
                    <c:v>92,4%</c:v>
                  </c:pt>
                  <c:pt idx="22">
                    <c:v>89,9%</c:v>
                  </c:pt>
                  <c:pt idx="23">
                    <c:v>101,3%</c:v>
                  </c:pt>
                  <c:pt idx="24">
                    <c:v>80,5%</c:v>
                  </c:pt>
                  <c:pt idx="25">
                    <c:v>109,3%</c:v>
                  </c:pt>
                  <c:pt idx="26">
                    <c:v>134,1%</c:v>
                  </c:pt>
                  <c:pt idx="27">
                    <c:v>71,3%</c:v>
                  </c:pt>
                </c:lvl>
                <c:lvl>
                  <c:pt idx="0">
                    <c:v>4405</c:v>
                  </c:pt>
                  <c:pt idx="1">
                    <c:v>1254</c:v>
                  </c:pt>
                  <c:pt idx="2">
                    <c:v>869</c:v>
                  </c:pt>
                  <c:pt idx="3">
                    <c:v>1355</c:v>
                  </c:pt>
                  <c:pt idx="4">
                    <c:v>1226</c:v>
                  </c:pt>
                  <c:pt idx="5">
                    <c:v>1805</c:v>
                  </c:pt>
                  <c:pt idx="6">
                    <c:v>790</c:v>
                  </c:pt>
                  <c:pt idx="7">
                    <c:v>629</c:v>
                  </c:pt>
                  <c:pt idx="8">
                    <c:v>0</c:v>
                  </c:pt>
                  <c:pt idx="9">
                    <c:v>95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774</c:v>
                  </c:pt>
                  <c:pt idx="14">
                    <c:v>495</c:v>
                  </c:pt>
                  <c:pt idx="15">
                    <c:v>1512</c:v>
                  </c:pt>
                  <c:pt idx="16">
                    <c:v>1318</c:v>
                  </c:pt>
                  <c:pt idx="17">
                    <c:v>593</c:v>
                  </c:pt>
                  <c:pt idx="18">
                    <c:v>397</c:v>
                  </c:pt>
                  <c:pt idx="19">
                    <c:v>428</c:v>
                  </c:pt>
                  <c:pt idx="20">
                    <c:v>313</c:v>
                  </c:pt>
                  <c:pt idx="21">
                    <c:v>949</c:v>
                  </c:pt>
                  <c:pt idx="22">
                    <c:v>903</c:v>
                  </c:pt>
                  <c:pt idx="23">
                    <c:v>1073</c:v>
                  </c:pt>
                  <c:pt idx="24">
                    <c:v>1431</c:v>
                  </c:pt>
                  <c:pt idx="25">
                    <c:v>659</c:v>
                  </c:pt>
                  <c:pt idx="26">
                    <c:v>4815</c:v>
                  </c:pt>
                  <c:pt idx="27">
                    <c:v>5952</c:v>
                  </c:pt>
                  <c:pt idx="28">
                    <c:v>0</c:v>
                  </c:pt>
                </c:lvl>
                <c:lvl>
                  <c:pt idx="0">
                    <c:v>06:53:00</c:v>
                  </c:pt>
                  <c:pt idx="1">
                    <c:v>06:58:00</c:v>
                  </c:pt>
                  <c:pt idx="2">
                    <c:v>06:02:00</c:v>
                  </c:pt>
                  <c:pt idx="3">
                    <c:v>07:10:00</c:v>
                  </c:pt>
                  <c:pt idx="4">
                    <c:v>07:10:00</c:v>
                  </c:pt>
                  <c:pt idx="5">
                    <c:v>06:41:00</c:v>
                  </c:pt>
                  <c:pt idx="6">
                    <c:v>07:03:00</c:v>
                  </c:pt>
                  <c:pt idx="7">
                    <c:v>07:09:00</c:v>
                  </c:pt>
                  <c:pt idx="8">
                    <c:v>0</c:v>
                  </c:pt>
                  <c:pt idx="9">
                    <c:v>00:20:00</c:v>
                  </c:pt>
                  <c:pt idx="10">
                    <c:v>05:28:00</c:v>
                  </c:pt>
                  <c:pt idx="11">
                    <c:v>01:39:00</c:v>
                  </c:pt>
                  <c:pt idx="12">
                    <c:v>07:21:00</c:v>
                  </c:pt>
                  <c:pt idx="13">
                    <c:v>04:18:00</c:v>
                  </c:pt>
                  <c:pt idx="14">
                    <c:v>02:45:00</c:v>
                  </c:pt>
                  <c:pt idx="15">
                    <c:v>08:24:00</c:v>
                  </c:pt>
                  <c:pt idx="16">
                    <c:v>09:09:00</c:v>
                  </c:pt>
                  <c:pt idx="17">
                    <c:v>03:28:00</c:v>
                  </c:pt>
                  <c:pt idx="18">
                    <c:v>03:58:00</c:v>
                  </c:pt>
                  <c:pt idx="19">
                    <c:v>02:30:00</c:v>
                  </c:pt>
                  <c:pt idx="20">
                    <c:v>03:08:00</c:v>
                  </c:pt>
                  <c:pt idx="21">
                    <c:v>03:31:00</c:v>
                  </c:pt>
                  <c:pt idx="22">
                    <c:v>08:04:00</c:v>
                  </c:pt>
                  <c:pt idx="23">
                    <c:v>07:40:00</c:v>
                  </c:pt>
                  <c:pt idx="24">
                    <c:v>08:08:00</c:v>
                  </c:pt>
                  <c:pt idx="25">
                    <c:v>07:29:00</c:v>
                  </c:pt>
                  <c:pt idx="26">
                    <c:v>05:21:00</c:v>
                  </c:pt>
                  <c:pt idx="27">
                    <c:v>09:18:00</c:v>
                  </c:pt>
                  <c:pt idx="28">
                    <c:v>08:15:00</c:v>
                  </c:pt>
                </c:lvl>
                <c:lvl>
                  <c:pt idx="0">
                    <c:v>2:07</c:v>
                  </c:pt>
                  <c:pt idx="1">
                    <c:v>2:02</c:v>
                  </c:pt>
                  <c:pt idx="2">
                    <c:v>2:58</c:v>
                  </c:pt>
                  <c:pt idx="3">
                    <c:v>1:50</c:v>
                  </c:pt>
                  <c:pt idx="4">
                    <c:v>1:50</c:v>
                  </c:pt>
                  <c:pt idx="5">
                    <c:v>2:19</c:v>
                  </c:pt>
                  <c:pt idx="6">
                    <c:v>1:57</c:v>
                  </c:pt>
                  <c:pt idx="7">
                    <c:v>1:51</c:v>
                  </c:pt>
                  <c:pt idx="9">
                    <c:v>0:40</c:v>
                  </c:pt>
                  <c:pt idx="10">
                    <c:v>1:38</c:v>
                  </c:pt>
                  <c:pt idx="11">
                    <c:v>0:15</c:v>
                  </c:pt>
                  <c:pt idx="12">
                    <c:v>2:39</c:v>
                  </c:pt>
                  <c:pt idx="13">
                    <c:v>0:32</c:v>
                  </c:pt>
                  <c:pt idx="14">
                    <c:v>2:25</c:v>
                  </c:pt>
                  <c:pt idx="15">
                    <c:v>1:36</c:v>
                  </c:pt>
                  <c:pt idx="16">
                    <c:v>1:51</c:v>
                  </c:pt>
                  <c:pt idx="17">
                    <c:v>1:14</c:v>
                  </c:pt>
                  <c:pt idx="18">
                    <c:v>1:20</c:v>
                  </c:pt>
                  <c:pt idx="19">
                    <c:v>1:00</c:v>
                  </c:pt>
                  <c:pt idx="20">
                    <c:v>3:22</c:v>
                  </c:pt>
                  <c:pt idx="21">
                    <c:v>6:29</c:v>
                  </c:pt>
                  <c:pt idx="22">
                    <c:v>1:56</c:v>
                  </c:pt>
                  <c:pt idx="23">
                    <c:v>2:20</c:v>
                  </c:pt>
                  <c:pt idx="24">
                    <c:v>1:52</c:v>
                  </c:pt>
                  <c:pt idx="25">
                    <c:v>2:31</c:v>
                  </c:pt>
                  <c:pt idx="26">
                    <c:v>4:39</c:v>
                  </c:pt>
                  <c:pt idx="27">
                    <c:v>0:42</c:v>
                  </c:pt>
                  <c:pt idx="28">
                    <c:v>1:45</c:v>
                  </c:pt>
                </c:lvl>
                <c:lvl>
                  <c:pt idx="0">
                    <c:v>25/5/26 6:00</c:v>
                  </c:pt>
                  <c:pt idx="1">
                    <c:v>25/5/26 6:00</c:v>
                  </c:pt>
                  <c:pt idx="2">
                    <c:v>25/5/26 6:00</c:v>
                  </c:pt>
                  <c:pt idx="3">
                    <c:v>25/5/26 6:00</c:v>
                  </c:pt>
                  <c:pt idx="4">
                    <c:v>25/5/26 6:00</c:v>
                  </c:pt>
                  <c:pt idx="5">
                    <c:v>25/5/26 6:00</c:v>
                  </c:pt>
                  <c:pt idx="6">
                    <c:v>25/5/26 6:00</c:v>
                  </c:pt>
                  <c:pt idx="7">
                    <c:v>25/5/26 6:00</c:v>
                  </c:pt>
                  <c:pt idx="9">
                    <c:v>25/5/26 7:00</c:v>
                  </c:pt>
                  <c:pt idx="10">
                    <c:v>25/5/26 14:06</c:v>
                  </c:pt>
                  <c:pt idx="11">
                    <c:v>25/5/26 16:00</c:v>
                  </c:pt>
                  <c:pt idx="12">
                    <c:v>25/5/26 16:00</c:v>
                  </c:pt>
                  <c:pt idx="13">
                    <c:v>25/5/26 10:50</c:v>
                  </c:pt>
                  <c:pt idx="14">
                    <c:v>25/5/26 16:00</c:v>
                  </c:pt>
                  <c:pt idx="15">
                    <c:v>25/5/26 16:00</c:v>
                  </c:pt>
                  <c:pt idx="16">
                    <c:v>25/5/26 17:00</c:v>
                  </c:pt>
                  <c:pt idx="17">
                    <c:v>25/5/26 10:42</c:v>
                  </c:pt>
                  <c:pt idx="18">
                    <c:v>25/5/26 16:00</c:v>
                  </c:pt>
                  <c:pt idx="19">
                    <c:v>25/5/26 9:30</c:v>
                  </c:pt>
                  <c:pt idx="20">
                    <c:v>25/5/26 16:00</c:v>
                  </c:pt>
                  <c:pt idx="21">
                    <c:v>25/5/26 16:00</c:v>
                  </c:pt>
                  <c:pt idx="22">
                    <c:v>25/5/26 16:00</c:v>
                  </c:pt>
                  <c:pt idx="23">
                    <c:v>25/5/26 16:00</c:v>
                  </c:pt>
                  <c:pt idx="24">
                    <c:v>25/5/26 16:00</c:v>
                  </c:pt>
                  <c:pt idx="25">
                    <c:v>25/5/26 16:00</c:v>
                  </c:pt>
                  <c:pt idx="26">
                    <c:v>25/5/26 16:00</c:v>
                  </c:pt>
                  <c:pt idx="27">
                    <c:v>25/5/26 16:00</c:v>
                  </c:pt>
                  <c:pt idx="28">
                    <c:v>25/5/26 16:00</c:v>
                  </c:pt>
                </c:lvl>
                <c:lvl>
                  <c:pt idx="0">
                    <c:v>24/5/26 21:00</c:v>
                  </c:pt>
                  <c:pt idx="1">
                    <c:v>24/5/26 21:00</c:v>
                  </c:pt>
                  <c:pt idx="2">
                    <c:v>24/5/26 21:00</c:v>
                  </c:pt>
                  <c:pt idx="3">
                    <c:v>24/5/26 21:00</c:v>
                  </c:pt>
                  <c:pt idx="4">
                    <c:v>24/5/26 21:00</c:v>
                  </c:pt>
                  <c:pt idx="5">
                    <c:v>24/5/26 21:00</c:v>
                  </c:pt>
                  <c:pt idx="6">
                    <c:v>24/5/26 21:00</c:v>
                  </c:pt>
                  <c:pt idx="7">
                    <c:v>24/5/26 21:00</c:v>
                  </c:pt>
                  <c:pt idx="9">
                    <c:v>25/5/26 6:00</c:v>
                  </c:pt>
                  <c:pt idx="10">
                    <c:v>25/5/26 7:00</c:v>
                  </c:pt>
                  <c:pt idx="11">
                    <c:v>25/5/26 14:06</c:v>
                  </c:pt>
                  <c:pt idx="12">
                    <c:v>25/5/26 6:00</c:v>
                  </c:pt>
                  <c:pt idx="13">
                    <c:v>25/5/26 6:00</c:v>
                  </c:pt>
                  <c:pt idx="14">
                    <c:v>25/5/26 10:50</c:v>
                  </c:pt>
                  <c:pt idx="15">
                    <c:v>25/5/26 6:00</c:v>
                  </c:pt>
                  <c:pt idx="16">
                    <c:v>25/5/26 6:00</c:v>
                  </c:pt>
                  <c:pt idx="17">
                    <c:v>25/5/26 6:00</c:v>
                  </c:pt>
                  <c:pt idx="18">
                    <c:v>25/5/26 10:42</c:v>
                  </c:pt>
                  <c:pt idx="19">
                    <c:v>25/5/26 6:00</c:v>
                  </c:pt>
                  <c:pt idx="20">
                    <c:v>25/5/26 9:30</c:v>
                  </c:pt>
                  <c:pt idx="21">
                    <c:v>25/5/26 6:00</c:v>
                  </c:pt>
                  <c:pt idx="22">
                    <c:v>25/5/26 6:00</c:v>
                  </c:pt>
                  <c:pt idx="23">
                    <c:v>25/5/26 6:00</c:v>
                  </c:pt>
                  <c:pt idx="24">
                    <c:v>25/5/26 6:00</c:v>
                  </c:pt>
                  <c:pt idx="25">
                    <c:v>25/5/26 6:00</c:v>
                  </c:pt>
                  <c:pt idx="26">
                    <c:v>25/5/26 6:00</c:v>
                  </c:pt>
                  <c:pt idx="27">
                    <c:v>25/5/26 6:00</c:v>
                  </c:pt>
                  <c:pt idx="28">
                    <c:v>25/5/26 6:00</c:v>
                  </c:pt>
                </c:lvl>
                <c:lvl>
                  <c:pt idx="0">
                    <c:v>2926</c:v>
                  </c:pt>
                  <c:pt idx="1">
                    <c:v>1337</c:v>
                  </c:pt>
                  <c:pt idx="2">
                    <c:v>1150</c:v>
                  </c:pt>
                  <c:pt idx="3">
                    <c:v>780</c:v>
                  </c:pt>
                  <c:pt idx="4">
                    <c:v>695</c:v>
                  </c:pt>
                  <c:pt idx="5">
                    <c:v>1648</c:v>
                  </c:pt>
                  <c:pt idx="6">
                    <c:v>920</c:v>
                  </c:pt>
                  <c:pt idx="7">
                    <c:v>696</c:v>
                  </c:pt>
                  <c:pt idx="9">
                    <c:v>96</c:v>
                  </c:pt>
                  <c:pt idx="10">
                    <c:v>1183</c:v>
                  </c:pt>
                  <c:pt idx="11">
                    <c:v>300</c:v>
                  </c:pt>
                  <c:pt idx="12">
                    <c:v>1.845</c:v>
                  </c:pt>
                  <c:pt idx="13">
                    <c:v>604</c:v>
                  </c:pt>
                  <c:pt idx="14">
                    <c:v>109</c:v>
                  </c:pt>
                  <c:pt idx="15">
                    <c:v>1250</c:v>
                  </c:pt>
                  <c:pt idx="16">
                    <c:v>2000</c:v>
                  </c:pt>
                  <c:pt idx="17">
                    <c:v>414</c:v>
                  </c:pt>
                  <c:pt idx="18">
                    <c:v>320</c:v>
                  </c:pt>
                  <c:pt idx="19">
                    <c:v>390</c:v>
                  </c:pt>
                  <c:pt idx="20">
                    <c:v>200</c:v>
                  </c:pt>
                  <c:pt idx="21">
                    <c:v>877</c:v>
                  </c:pt>
                  <c:pt idx="22">
                    <c:v>812</c:v>
                  </c:pt>
                  <c:pt idx="23">
                    <c:v>1087</c:v>
                  </c:pt>
                  <c:pt idx="24">
                    <c:v>1152</c:v>
                  </c:pt>
                  <c:pt idx="25">
                    <c:v>720</c:v>
                  </c:pt>
                  <c:pt idx="26">
                    <c:v>6455</c:v>
                  </c:pt>
                  <c:pt idx="27">
                    <c:v>4246</c:v>
                  </c:pt>
                  <c:pt idx="28">
                    <c:v>3658</c:v>
                  </c:pt>
                </c:lvl>
                <c:lvl>
                  <c:pt idx="0">
                    <c:v>SANDRO</c:v>
                  </c:pt>
                  <c:pt idx="1">
                    <c:v>JOÃO BATISTA</c:v>
                  </c:pt>
                  <c:pt idx="2">
                    <c:v>REGINALDO</c:v>
                  </c:pt>
                  <c:pt idx="3">
                    <c:v>VALMIR</c:v>
                  </c:pt>
                  <c:pt idx="4">
                    <c:v>VINICIUS</c:v>
                  </c:pt>
                  <c:pt idx="5">
                    <c:v>EDMAR</c:v>
                  </c:pt>
                  <c:pt idx="6">
                    <c:v>JOÃO EDUARDO</c:v>
                  </c:pt>
                  <c:pt idx="7">
                    <c:v>MATEUS</c:v>
                  </c:pt>
                  <c:pt idx="9">
                    <c:v>JOAO LOPES</c:v>
                  </c:pt>
                  <c:pt idx="10">
                    <c:v>JOAO LOPES</c:v>
                  </c:pt>
                  <c:pt idx="11">
                    <c:v>FABIO</c:v>
                  </c:pt>
                  <c:pt idx="12">
                    <c:v>DANIEL</c:v>
                  </c:pt>
                  <c:pt idx="13">
                    <c:v>ANDERSON</c:v>
                  </c:pt>
                  <c:pt idx="14">
                    <c:v>ANDERSON</c:v>
                  </c:pt>
                  <c:pt idx="15">
                    <c:v>KILBER</c:v>
                  </c:pt>
                  <c:pt idx="16">
                    <c:v>AGUINALDO</c:v>
                  </c:pt>
                  <c:pt idx="17">
                    <c:v>CLAUDINEI</c:v>
                  </c:pt>
                  <c:pt idx="18">
                    <c:v>CLAUDINEI</c:v>
                  </c:pt>
                  <c:pt idx="19">
                    <c:v>RAFAEL</c:v>
                  </c:pt>
                  <c:pt idx="20">
                    <c:v>RAFAEL</c:v>
                  </c:pt>
                  <c:pt idx="21">
                    <c:v>PATRICIA</c:v>
                  </c:pt>
                  <c:pt idx="22">
                    <c:v>RAÍ</c:v>
                  </c:pt>
                  <c:pt idx="23">
                    <c:v>ALEX</c:v>
                  </c:pt>
                  <c:pt idx="24">
                    <c:v>TIAGO</c:v>
                  </c:pt>
                  <c:pt idx="25">
                    <c:v>DHIEGO</c:v>
                  </c:pt>
                  <c:pt idx="26">
                    <c:v>JOÃO PEDRO</c:v>
                  </c:pt>
                  <c:pt idx="27">
                    <c:v>VAGNER</c:v>
                  </c:pt>
                  <c:pt idx="28">
                    <c:v>RENATO</c:v>
                  </c:pt>
                </c:lvl>
                <c:lvl>
                  <c:pt idx="0">
                    <c:v>TERMINAL AT (CORTE)</c:v>
                  </c:pt>
                  <c:pt idx="1">
                    <c:v>P. CABO AT (FORJA)</c:v>
                  </c:pt>
                  <c:pt idx="2">
                    <c:v>TERMINAL AT (FORJA)</c:v>
                  </c:pt>
                  <c:pt idx="3">
                    <c:v>GRAMPO 160 (SOLDA)</c:v>
                  </c:pt>
                  <c:pt idx="4">
                    <c:v>SPADE 160 (SOLDA)</c:v>
                  </c:pt>
                  <c:pt idx="5">
                    <c:v>P. CABO AT (FURO)</c:v>
                  </c:pt>
                  <c:pt idx="6">
                    <c:v>SPADE 160 (USINAGEM)</c:v>
                  </c:pt>
                  <c:pt idx="7">
                    <c:v>SPADE 400 (USINAGEM)</c:v>
                  </c:pt>
                  <c:pt idx="9">
                    <c:v>GRAMPO 160 (REBARBA)</c:v>
                  </c:pt>
                  <c:pt idx="10">
                    <c:v>GRAMPO 400 (REBARBA)</c:v>
                  </c:pt>
                  <c:pt idx="11">
                    <c:v>GRAMPO 400 (REBARBA)</c:v>
                  </c:pt>
                  <c:pt idx="12">
                    <c:v>SPADE 400 (REBARBA)</c:v>
                  </c:pt>
                  <c:pt idx="13">
                    <c:v>GRAMPO 400 (FORJA)</c:v>
                  </c:pt>
                  <c:pt idx="14">
                    <c:v>P. CABO BT 400 (FORJA)</c:v>
                  </c:pt>
                  <c:pt idx="15">
                    <c:v>P. CABO AT (FORJA)</c:v>
                  </c:pt>
                  <c:pt idx="16">
                    <c:v>TERMINAL AT (FORJA)</c:v>
                  </c:pt>
                  <c:pt idx="17">
                    <c:v>SPADE 160 (SOLDA)</c:v>
                  </c:pt>
                  <c:pt idx="18">
                    <c:v>SPADE 400 (SOLDA)</c:v>
                  </c:pt>
                  <c:pt idx="19">
                    <c:v>SPADE 160 (SOLDA)</c:v>
                  </c:pt>
                  <c:pt idx="20">
                    <c:v>SPADE 400 (SOLDA)</c:v>
                  </c:pt>
                  <c:pt idx="21">
                    <c:v>P. CABO AT (FURO)</c:v>
                  </c:pt>
                  <c:pt idx="22">
                    <c:v>SPADE 160 (USINAGEM)</c:v>
                  </c:pt>
                  <c:pt idx="23">
                    <c:v>P. CABO BT 400 (REBAIXO)</c:v>
                  </c:pt>
                  <c:pt idx="24">
                    <c:v>GRAMPO 160 (USINAGEM)</c:v>
                  </c:pt>
                  <c:pt idx="25">
                    <c:v>SPADE 400 (USINAGEM)</c:v>
                  </c:pt>
                  <c:pt idx="26">
                    <c:v>P. CABO AT (LAMINAÇÃO)</c:v>
                  </c:pt>
                  <c:pt idx="27">
                    <c:v>TERMINAL AT (CORTE)</c:v>
                  </c:pt>
                  <c:pt idx="28">
                    <c:v>P. CABO AT (REBARBA)</c:v>
                  </c:pt>
                </c:lvl>
                <c:lvl>
                  <c:pt idx="0">
                    <c:v>SERRA 1</c:v>
                  </c:pt>
                  <c:pt idx="1">
                    <c:v>FORJA 2</c:v>
                  </c:pt>
                  <c:pt idx="2">
                    <c:v>FORJA 3</c:v>
                  </c:pt>
                  <c:pt idx="3">
                    <c:v>SOLDA 1</c:v>
                  </c:pt>
                  <c:pt idx="4">
                    <c:v>SOLDA 2</c:v>
                  </c:pt>
                  <c:pt idx="5">
                    <c:v>CNC 1</c:v>
                  </c:pt>
                  <c:pt idx="6">
                    <c:v>CNC 2</c:v>
                  </c:pt>
                  <c:pt idx="7">
                    <c:v>CNC 5</c:v>
                  </c:pt>
                  <c:pt idx="9">
                    <c:v>PH 1</c:v>
                  </c:pt>
                  <c:pt idx="10">
                    <c:v>PH 1</c:v>
                  </c:pt>
                  <c:pt idx="11">
                    <c:v>PH 1</c:v>
                  </c:pt>
                  <c:pt idx="12">
                    <c:v>PH 2</c:v>
                  </c:pt>
                  <c:pt idx="13">
                    <c:v>FORJA 1</c:v>
                  </c:pt>
                  <c:pt idx="14">
                    <c:v>FORJA 1</c:v>
                  </c:pt>
                  <c:pt idx="15">
                    <c:v>FORJA 2</c:v>
                  </c:pt>
                  <c:pt idx="16">
                    <c:v>FORJA 3</c:v>
                  </c:pt>
                  <c:pt idx="17">
                    <c:v>SOLDA 1</c:v>
                  </c:pt>
                  <c:pt idx="18">
                    <c:v>SOLDA 1</c:v>
                  </c:pt>
                  <c:pt idx="19">
                    <c:v>SOLDA 2</c:v>
                  </c:pt>
                  <c:pt idx="20">
                    <c:v>SOLDA 2</c:v>
                  </c:pt>
                  <c:pt idx="21">
                    <c:v>CNC 1</c:v>
                  </c:pt>
                  <c:pt idx="22">
                    <c:v>CNC 2</c:v>
                  </c:pt>
                  <c:pt idx="23">
                    <c:v>CNC 3</c:v>
                  </c:pt>
                  <c:pt idx="24">
                    <c:v>CNC 4</c:v>
                  </c:pt>
                  <c:pt idx="25">
                    <c:v>CNC 5</c:v>
                  </c:pt>
                  <c:pt idx="26">
                    <c:v>LAMI. 1</c:v>
                  </c:pt>
                  <c:pt idx="27">
                    <c:v>SERRA 1</c:v>
                  </c:pt>
                  <c:pt idx="28">
                    <c:v>PP 80</c:v>
                  </c:pt>
                </c:lvl>
              </c:multiLvlStrCache>
            </c:multiLvlStrRef>
          </c:cat>
          <c:val>
            <c:numRef>
              <c:f>BD_LANÇAMENTOS!$S$3:$S$73</c:f>
              <c:numCache>
                <c:formatCode>0.00</c:formatCode>
                <c:ptCount val="71"/>
                <c:pt idx="0">
                  <c:v>7.8000000000000007</c:v>
                </c:pt>
                <c:pt idx="1">
                  <c:v>7.8000000000000007</c:v>
                </c:pt>
                <c:pt idx="2">
                  <c:v>7.8000000000000007</c:v>
                </c:pt>
                <c:pt idx="3">
                  <c:v>7.8000000000000007</c:v>
                </c:pt>
                <c:pt idx="4">
                  <c:v>7.8000000000000007</c:v>
                </c:pt>
                <c:pt idx="5">
                  <c:v>7.8000000000000007</c:v>
                </c:pt>
                <c:pt idx="6">
                  <c:v>7.8000000000000007</c:v>
                </c:pt>
                <c:pt idx="7">
                  <c:v>7.8000000000000007</c:v>
                </c:pt>
                <c:pt idx="8" formatCode="General">
                  <c:v>0</c:v>
                </c:pt>
                <c:pt idx="9">
                  <c:v>8.7999999999999989</c:v>
                </c:pt>
                <c:pt idx="10">
                  <c:v>8.7999999999999989</c:v>
                </c:pt>
                <c:pt idx="11">
                  <c:v>8.7999999999999989</c:v>
                </c:pt>
                <c:pt idx="12">
                  <c:v>8.7999999999999989</c:v>
                </c:pt>
                <c:pt idx="13">
                  <c:v>8.7999999999999989</c:v>
                </c:pt>
                <c:pt idx="14">
                  <c:v>8.7999999999999989</c:v>
                </c:pt>
                <c:pt idx="15">
                  <c:v>8.7999999999999989</c:v>
                </c:pt>
                <c:pt idx="16">
                  <c:v>8.7999999999999989</c:v>
                </c:pt>
                <c:pt idx="17">
                  <c:v>8.7999999999999989</c:v>
                </c:pt>
                <c:pt idx="18">
                  <c:v>8.7999999999999989</c:v>
                </c:pt>
                <c:pt idx="19">
                  <c:v>8.7999999999999989</c:v>
                </c:pt>
                <c:pt idx="20">
                  <c:v>8.7999999999999989</c:v>
                </c:pt>
                <c:pt idx="21">
                  <c:v>8.7999999999999989</c:v>
                </c:pt>
                <c:pt idx="22">
                  <c:v>8.7999999999999989</c:v>
                </c:pt>
                <c:pt idx="23">
                  <c:v>8.7999999999999989</c:v>
                </c:pt>
                <c:pt idx="24">
                  <c:v>8.7999999999999989</c:v>
                </c:pt>
                <c:pt idx="25">
                  <c:v>8.7999999999999989</c:v>
                </c:pt>
                <c:pt idx="26">
                  <c:v>8.7999999999999989</c:v>
                </c:pt>
                <c:pt idx="27">
                  <c:v>8.7999999999999989</c:v>
                </c:pt>
                <c:pt idx="28">
                  <c:v>8.7999999999999989</c:v>
                </c:pt>
                <c:pt idx="3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F-47B5-B8B4-3289F351114C}"/>
            </c:ext>
          </c:extLst>
        </c:ser>
        <c:ser>
          <c:idx val="1"/>
          <c:order val="1"/>
          <c:tx>
            <c:strRef>
              <c:f>BD_LANÇAMENTOS!$T$2</c:f>
              <c:strCache>
                <c:ptCount val="1"/>
                <c:pt idx="0">
                  <c:v>CAP. PRODUÇÃO
(Turno completo)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BD_LANÇAMENTOS!$A$3:$R$31</c:f>
              <c:multiLvlStrCache>
                <c:ptCount val="29"/>
                <c:lvl>
                  <c:pt idx="0">
                    <c:v>66,4%</c:v>
                  </c:pt>
                  <c:pt idx="1">
                    <c:v>106,6%</c:v>
                  </c:pt>
                  <c:pt idx="2">
                    <c:v>132,4%</c:v>
                  </c:pt>
                  <c:pt idx="3">
                    <c:v>57,6%</c:v>
                  </c:pt>
                  <c:pt idx="4">
                    <c:v>56,7%</c:v>
                  </c:pt>
                  <c:pt idx="5">
                    <c:v>91,3%</c:v>
                  </c:pt>
                  <c:pt idx="6">
                    <c:v>116,5%</c:v>
                  </c:pt>
                  <c:pt idx="7">
                    <c:v>110,6%</c:v>
                  </c:pt>
                  <c:pt idx="9">
                    <c:v>101,4%</c:v>
                  </c:pt>
                  <c:pt idx="13">
                    <c:v>78,0%</c:v>
                  </c:pt>
                  <c:pt idx="14">
                    <c:v>22,0%</c:v>
                  </c:pt>
                  <c:pt idx="15">
                    <c:v>82,7%</c:v>
                  </c:pt>
                  <c:pt idx="16">
                    <c:v>151,8%</c:v>
                  </c:pt>
                  <c:pt idx="17">
                    <c:v>69,8%</c:v>
                  </c:pt>
                  <c:pt idx="18">
                    <c:v>80,7%</c:v>
                  </c:pt>
                  <c:pt idx="19">
                    <c:v>91,2%</c:v>
                  </c:pt>
                  <c:pt idx="20">
                    <c:v>63,8%</c:v>
                  </c:pt>
                  <c:pt idx="21">
                    <c:v>92,4%</c:v>
                  </c:pt>
                  <c:pt idx="22">
                    <c:v>89,9%</c:v>
                  </c:pt>
                  <c:pt idx="23">
                    <c:v>101,3%</c:v>
                  </c:pt>
                  <c:pt idx="24">
                    <c:v>80,5%</c:v>
                  </c:pt>
                  <c:pt idx="25">
                    <c:v>109,3%</c:v>
                  </c:pt>
                  <c:pt idx="26">
                    <c:v>134,1%</c:v>
                  </c:pt>
                  <c:pt idx="27">
                    <c:v>71,3%</c:v>
                  </c:pt>
                </c:lvl>
                <c:lvl>
                  <c:pt idx="0">
                    <c:v>4405</c:v>
                  </c:pt>
                  <c:pt idx="1">
                    <c:v>1254</c:v>
                  </c:pt>
                  <c:pt idx="2">
                    <c:v>869</c:v>
                  </c:pt>
                  <c:pt idx="3">
                    <c:v>1355</c:v>
                  </c:pt>
                  <c:pt idx="4">
                    <c:v>1226</c:v>
                  </c:pt>
                  <c:pt idx="5">
                    <c:v>1805</c:v>
                  </c:pt>
                  <c:pt idx="6">
                    <c:v>790</c:v>
                  </c:pt>
                  <c:pt idx="7">
                    <c:v>629</c:v>
                  </c:pt>
                  <c:pt idx="8">
                    <c:v>0</c:v>
                  </c:pt>
                  <c:pt idx="9">
                    <c:v>95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774</c:v>
                  </c:pt>
                  <c:pt idx="14">
                    <c:v>495</c:v>
                  </c:pt>
                  <c:pt idx="15">
                    <c:v>1512</c:v>
                  </c:pt>
                  <c:pt idx="16">
                    <c:v>1318</c:v>
                  </c:pt>
                  <c:pt idx="17">
                    <c:v>593</c:v>
                  </c:pt>
                  <c:pt idx="18">
                    <c:v>397</c:v>
                  </c:pt>
                  <c:pt idx="19">
                    <c:v>428</c:v>
                  </c:pt>
                  <c:pt idx="20">
                    <c:v>313</c:v>
                  </c:pt>
                  <c:pt idx="21">
                    <c:v>949</c:v>
                  </c:pt>
                  <c:pt idx="22">
                    <c:v>903</c:v>
                  </c:pt>
                  <c:pt idx="23">
                    <c:v>1073</c:v>
                  </c:pt>
                  <c:pt idx="24">
                    <c:v>1431</c:v>
                  </c:pt>
                  <c:pt idx="25">
                    <c:v>659</c:v>
                  </c:pt>
                  <c:pt idx="26">
                    <c:v>4815</c:v>
                  </c:pt>
                  <c:pt idx="27">
                    <c:v>5952</c:v>
                  </c:pt>
                  <c:pt idx="28">
                    <c:v>0</c:v>
                  </c:pt>
                </c:lvl>
                <c:lvl>
                  <c:pt idx="0">
                    <c:v>06:53:00</c:v>
                  </c:pt>
                  <c:pt idx="1">
                    <c:v>06:58:00</c:v>
                  </c:pt>
                  <c:pt idx="2">
                    <c:v>06:02:00</c:v>
                  </c:pt>
                  <c:pt idx="3">
                    <c:v>07:10:00</c:v>
                  </c:pt>
                  <c:pt idx="4">
                    <c:v>07:10:00</c:v>
                  </c:pt>
                  <c:pt idx="5">
                    <c:v>06:41:00</c:v>
                  </c:pt>
                  <c:pt idx="6">
                    <c:v>07:03:00</c:v>
                  </c:pt>
                  <c:pt idx="7">
                    <c:v>07:09:00</c:v>
                  </c:pt>
                  <c:pt idx="8">
                    <c:v>0</c:v>
                  </c:pt>
                  <c:pt idx="9">
                    <c:v>00:20:00</c:v>
                  </c:pt>
                  <c:pt idx="10">
                    <c:v>05:28:00</c:v>
                  </c:pt>
                  <c:pt idx="11">
                    <c:v>01:39:00</c:v>
                  </c:pt>
                  <c:pt idx="12">
                    <c:v>07:21:00</c:v>
                  </c:pt>
                  <c:pt idx="13">
                    <c:v>04:18:00</c:v>
                  </c:pt>
                  <c:pt idx="14">
                    <c:v>02:45:00</c:v>
                  </c:pt>
                  <c:pt idx="15">
                    <c:v>08:24:00</c:v>
                  </c:pt>
                  <c:pt idx="16">
                    <c:v>09:09:00</c:v>
                  </c:pt>
                  <c:pt idx="17">
                    <c:v>03:28:00</c:v>
                  </c:pt>
                  <c:pt idx="18">
                    <c:v>03:58:00</c:v>
                  </c:pt>
                  <c:pt idx="19">
                    <c:v>02:30:00</c:v>
                  </c:pt>
                  <c:pt idx="20">
                    <c:v>03:08:00</c:v>
                  </c:pt>
                  <c:pt idx="21">
                    <c:v>03:31:00</c:v>
                  </c:pt>
                  <c:pt idx="22">
                    <c:v>08:04:00</c:v>
                  </c:pt>
                  <c:pt idx="23">
                    <c:v>07:40:00</c:v>
                  </c:pt>
                  <c:pt idx="24">
                    <c:v>08:08:00</c:v>
                  </c:pt>
                  <c:pt idx="25">
                    <c:v>07:29:00</c:v>
                  </c:pt>
                  <c:pt idx="26">
                    <c:v>05:21:00</c:v>
                  </c:pt>
                  <c:pt idx="27">
                    <c:v>09:18:00</c:v>
                  </c:pt>
                  <c:pt idx="28">
                    <c:v>08:15:00</c:v>
                  </c:pt>
                </c:lvl>
                <c:lvl>
                  <c:pt idx="0">
                    <c:v>2:07</c:v>
                  </c:pt>
                  <c:pt idx="1">
                    <c:v>2:02</c:v>
                  </c:pt>
                  <c:pt idx="2">
                    <c:v>2:58</c:v>
                  </c:pt>
                  <c:pt idx="3">
                    <c:v>1:50</c:v>
                  </c:pt>
                  <c:pt idx="4">
                    <c:v>1:50</c:v>
                  </c:pt>
                  <c:pt idx="5">
                    <c:v>2:19</c:v>
                  </c:pt>
                  <c:pt idx="6">
                    <c:v>1:57</c:v>
                  </c:pt>
                  <c:pt idx="7">
                    <c:v>1:51</c:v>
                  </c:pt>
                  <c:pt idx="9">
                    <c:v>0:40</c:v>
                  </c:pt>
                  <c:pt idx="10">
                    <c:v>1:38</c:v>
                  </c:pt>
                  <c:pt idx="11">
                    <c:v>0:15</c:v>
                  </c:pt>
                  <c:pt idx="12">
                    <c:v>2:39</c:v>
                  </c:pt>
                  <c:pt idx="13">
                    <c:v>0:32</c:v>
                  </c:pt>
                  <c:pt idx="14">
                    <c:v>2:25</c:v>
                  </c:pt>
                  <c:pt idx="15">
                    <c:v>1:36</c:v>
                  </c:pt>
                  <c:pt idx="16">
                    <c:v>1:51</c:v>
                  </c:pt>
                  <c:pt idx="17">
                    <c:v>1:14</c:v>
                  </c:pt>
                  <c:pt idx="18">
                    <c:v>1:20</c:v>
                  </c:pt>
                  <c:pt idx="19">
                    <c:v>1:00</c:v>
                  </c:pt>
                  <c:pt idx="20">
                    <c:v>3:22</c:v>
                  </c:pt>
                  <c:pt idx="21">
                    <c:v>6:29</c:v>
                  </c:pt>
                  <c:pt idx="22">
                    <c:v>1:56</c:v>
                  </c:pt>
                  <c:pt idx="23">
                    <c:v>2:20</c:v>
                  </c:pt>
                  <c:pt idx="24">
                    <c:v>1:52</c:v>
                  </c:pt>
                  <c:pt idx="25">
                    <c:v>2:31</c:v>
                  </c:pt>
                  <c:pt idx="26">
                    <c:v>4:39</c:v>
                  </c:pt>
                  <c:pt idx="27">
                    <c:v>0:42</c:v>
                  </c:pt>
                  <c:pt idx="28">
                    <c:v>1:45</c:v>
                  </c:pt>
                </c:lvl>
                <c:lvl>
                  <c:pt idx="0">
                    <c:v>25/5/26 6:00</c:v>
                  </c:pt>
                  <c:pt idx="1">
                    <c:v>25/5/26 6:00</c:v>
                  </c:pt>
                  <c:pt idx="2">
                    <c:v>25/5/26 6:00</c:v>
                  </c:pt>
                  <c:pt idx="3">
                    <c:v>25/5/26 6:00</c:v>
                  </c:pt>
                  <c:pt idx="4">
                    <c:v>25/5/26 6:00</c:v>
                  </c:pt>
                  <c:pt idx="5">
                    <c:v>25/5/26 6:00</c:v>
                  </c:pt>
                  <c:pt idx="6">
                    <c:v>25/5/26 6:00</c:v>
                  </c:pt>
                  <c:pt idx="7">
                    <c:v>25/5/26 6:00</c:v>
                  </c:pt>
                  <c:pt idx="9">
                    <c:v>25/5/26 7:00</c:v>
                  </c:pt>
                  <c:pt idx="10">
                    <c:v>25/5/26 14:06</c:v>
                  </c:pt>
                  <c:pt idx="11">
                    <c:v>25/5/26 16:00</c:v>
                  </c:pt>
                  <c:pt idx="12">
                    <c:v>25/5/26 16:00</c:v>
                  </c:pt>
                  <c:pt idx="13">
                    <c:v>25/5/26 10:50</c:v>
                  </c:pt>
                  <c:pt idx="14">
                    <c:v>25/5/26 16:00</c:v>
                  </c:pt>
                  <c:pt idx="15">
                    <c:v>25/5/26 16:00</c:v>
                  </c:pt>
                  <c:pt idx="16">
                    <c:v>25/5/26 17:00</c:v>
                  </c:pt>
                  <c:pt idx="17">
                    <c:v>25/5/26 10:42</c:v>
                  </c:pt>
                  <c:pt idx="18">
                    <c:v>25/5/26 16:00</c:v>
                  </c:pt>
                  <c:pt idx="19">
                    <c:v>25/5/26 9:30</c:v>
                  </c:pt>
                  <c:pt idx="20">
                    <c:v>25/5/26 16:00</c:v>
                  </c:pt>
                  <c:pt idx="21">
                    <c:v>25/5/26 16:00</c:v>
                  </c:pt>
                  <c:pt idx="22">
                    <c:v>25/5/26 16:00</c:v>
                  </c:pt>
                  <c:pt idx="23">
                    <c:v>25/5/26 16:00</c:v>
                  </c:pt>
                  <c:pt idx="24">
                    <c:v>25/5/26 16:00</c:v>
                  </c:pt>
                  <c:pt idx="25">
                    <c:v>25/5/26 16:00</c:v>
                  </c:pt>
                  <c:pt idx="26">
                    <c:v>25/5/26 16:00</c:v>
                  </c:pt>
                  <c:pt idx="27">
                    <c:v>25/5/26 16:00</c:v>
                  </c:pt>
                  <c:pt idx="28">
                    <c:v>25/5/26 16:00</c:v>
                  </c:pt>
                </c:lvl>
                <c:lvl>
                  <c:pt idx="0">
                    <c:v>24/5/26 21:00</c:v>
                  </c:pt>
                  <c:pt idx="1">
                    <c:v>24/5/26 21:00</c:v>
                  </c:pt>
                  <c:pt idx="2">
                    <c:v>24/5/26 21:00</c:v>
                  </c:pt>
                  <c:pt idx="3">
                    <c:v>24/5/26 21:00</c:v>
                  </c:pt>
                  <c:pt idx="4">
                    <c:v>24/5/26 21:00</c:v>
                  </c:pt>
                  <c:pt idx="5">
                    <c:v>24/5/26 21:00</c:v>
                  </c:pt>
                  <c:pt idx="6">
                    <c:v>24/5/26 21:00</c:v>
                  </c:pt>
                  <c:pt idx="7">
                    <c:v>24/5/26 21:00</c:v>
                  </c:pt>
                  <c:pt idx="9">
                    <c:v>25/5/26 6:00</c:v>
                  </c:pt>
                  <c:pt idx="10">
                    <c:v>25/5/26 7:00</c:v>
                  </c:pt>
                  <c:pt idx="11">
                    <c:v>25/5/26 14:06</c:v>
                  </c:pt>
                  <c:pt idx="12">
                    <c:v>25/5/26 6:00</c:v>
                  </c:pt>
                  <c:pt idx="13">
                    <c:v>25/5/26 6:00</c:v>
                  </c:pt>
                  <c:pt idx="14">
                    <c:v>25/5/26 10:50</c:v>
                  </c:pt>
                  <c:pt idx="15">
                    <c:v>25/5/26 6:00</c:v>
                  </c:pt>
                  <c:pt idx="16">
                    <c:v>25/5/26 6:00</c:v>
                  </c:pt>
                  <c:pt idx="17">
                    <c:v>25/5/26 6:00</c:v>
                  </c:pt>
                  <c:pt idx="18">
                    <c:v>25/5/26 10:42</c:v>
                  </c:pt>
                  <c:pt idx="19">
                    <c:v>25/5/26 6:00</c:v>
                  </c:pt>
                  <c:pt idx="20">
                    <c:v>25/5/26 9:30</c:v>
                  </c:pt>
                  <c:pt idx="21">
                    <c:v>25/5/26 6:00</c:v>
                  </c:pt>
                  <c:pt idx="22">
                    <c:v>25/5/26 6:00</c:v>
                  </c:pt>
                  <c:pt idx="23">
                    <c:v>25/5/26 6:00</c:v>
                  </c:pt>
                  <c:pt idx="24">
                    <c:v>25/5/26 6:00</c:v>
                  </c:pt>
                  <c:pt idx="25">
                    <c:v>25/5/26 6:00</c:v>
                  </c:pt>
                  <c:pt idx="26">
                    <c:v>25/5/26 6:00</c:v>
                  </c:pt>
                  <c:pt idx="27">
                    <c:v>25/5/26 6:00</c:v>
                  </c:pt>
                  <c:pt idx="28">
                    <c:v>25/5/26 6:00</c:v>
                  </c:pt>
                </c:lvl>
                <c:lvl>
                  <c:pt idx="0">
                    <c:v>2926</c:v>
                  </c:pt>
                  <c:pt idx="1">
                    <c:v>1337</c:v>
                  </c:pt>
                  <c:pt idx="2">
                    <c:v>1150</c:v>
                  </c:pt>
                  <c:pt idx="3">
                    <c:v>780</c:v>
                  </c:pt>
                  <c:pt idx="4">
                    <c:v>695</c:v>
                  </c:pt>
                  <c:pt idx="5">
                    <c:v>1648</c:v>
                  </c:pt>
                  <c:pt idx="6">
                    <c:v>920</c:v>
                  </c:pt>
                  <c:pt idx="7">
                    <c:v>696</c:v>
                  </c:pt>
                  <c:pt idx="9">
                    <c:v>96</c:v>
                  </c:pt>
                  <c:pt idx="10">
                    <c:v>1183</c:v>
                  </c:pt>
                  <c:pt idx="11">
                    <c:v>300</c:v>
                  </c:pt>
                  <c:pt idx="12">
                    <c:v>1.845</c:v>
                  </c:pt>
                  <c:pt idx="13">
                    <c:v>604</c:v>
                  </c:pt>
                  <c:pt idx="14">
                    <c:v>109</c:v>
                  </c:pt>
                  <c:pt idx="15">
                    <c:v>1250</c:v>
                  </c:pt>
                  <c:pt idx="16">
                    <c:v>2000</c:v>
                  </c:pt>
                  <c:pt idx="17">
                    <c:v>414</c:v>
                  </c:pt>
                  <c:pt idx="18">
                    <c:v>320</c:v>
                  </c:pt>
                  <c:pt idx="19">
                    <c:v>390</c:v>
                  </c:pt>
                  <c:pt idx="20">
                    <c:v>200</c:v>
                  </c:pt>
                  <c:pt idx="21">
                    <c:v>877</c:v>
                  </c:pt>
                  <c:pt idx="22">
                    <c:v>812</c:v>
                  </c:pt>
                  <c:pt idx="23">
                    <c:v>1087</c:v>
                  </c:pt>
                  <c:pt idx="24">
                    <c:v>1152</c:v>
                  </c:pt>
                  <c:pt idx="25">
                    <c:v>720</c:v>
                  </c:pt>
                  <c:pt idx="26">
                    <c:v>6455</c:v>
                  </c:pt>
                  <c:pt idx="27">
                    <c:v>4246</c:v>
                  </c:pt>
                  <c:pt idx="28">
                    <c:v>3658</c:v>
                  </c:pt>
                </c:lvl>
                <c:lvl>
                  <c:pt idx="0">
                    <c:v>SANDRO</c:v>
                  </c:pt>
                  <c:pt idx="1">
                    <c:v>JOÃO BATISTA</c:v>
                  </c:pt>
                  <c:pt idx="2">
                    <c:v>REGINALDO</c:v>
                  </c:pt>
                  <c:pt idx="3">
                    <c:v>VALMIR</c:v>
                  </c:pt>
                  <c:pt idx="4">
                    <c:v>VINICIUS</c:v>
                  </c:pt>
                  <c:pt idx="5">
                    <c:v>EDMAR</c:v>
                  </c:pt>
                  <c:pt idx="6">
                    <c:v>JOÃO EDUARDO</c:v>
                  </c:pt>
                  <c:pt idx="7">
                    <c:v>MATEUS</c:v>
                  </c:pt>
                  <c:pt idx="9">
                    <c:v>JOAO LOPES</c:v>
                  </c:pt>
                  <c:pt idx="10">
                    <c:v>JOAO LOPES</c:v>
                  </c:pt>
                  <c:pt idx="11">
                    <c:v>FABIO</c:v>
                  </c:pt>
                  <c:pt idx="12">
                    <c:v>DANIEL</c:v>
                  </c:pt>
                  <c:pt idx="13">
                    <c:v>ANDERSON</c:v>
                  </c:pt>
                  <c:pt idx="14">
                    <c:v>ANDERSON</c:v>
                  </c:pt>
                  <c:pt idx="15">
                    <c:v>KILBER</c:v>
                  </c:pt>
                  <c:pt idx="16">
                    <c:v>AGUINALDO</c:v>
                  </c:pt>
                  <c:pt idx="17">
                    <c:v>CLAUDINEI</c:v>
                  </c:pt>
                  <c:pt idx="18">
                    <c:v>CLAUDINEI</c:v>
                  </c:pt>
                  <c:pt idx="19">
                    <c:v>RAFAEL</c:v>
                  </c:pt>
                  <c:pt idx="20">
                    <c:v>RAFAEL</c:v>
                  </c:pt>
                  <c:pt idx="21">
                    <c:v>PATRICIA</c:v>
                  </c:pt>
                  <c:pt idx="22">
                    <c:v>RAÍ</c:v>
                  </c:pt>
                  <c:pt idx="23">
                    <c:v>ALEX</c:v>
                  </c:pt>
                  <c:pt idx="24">
                    <c:v>TIAGO</c:v>
                  </c:pt>
                  <c:pt idx="25">
                    <c:v>DHIEGO</c:v>
                  </c:pt>
                  <c:pt idx="26">
                    <c:v>JOÃO PEDRO</c:v>
                  </c:pt>
                  <c:pt idx="27">
                    <c:v>VAGNER</c:v>
                  </c:pt>
                  <c:pt idx="28">
                    <c:v>RENATO</c:v>
                  </c:pt>
                </c:lvl>
                <c:lvl>
                  <c:pt idx="0">
                    <c:v>TERMINAL AT (CORTE)</c:v>
                  </c:pt>
                  <c:pt idx="1">
                    <c:v>P. CABO AT (FORJA)</c:v>
                  </c:pt>
                  <c:pt idx="2">
                    <c:v>TERMINAL AT (FORJA)</c:v>
                  </c:pt>
                  <c:pt idx="3">
                    <c:v>GRAMPO 160 (SOLDA)</c:v>
                  </c:pt>
                  <c:pt idx="4">
                    <c:v>SPADE 160 (SOLDA)</c:v>
                  </c:pt>
                  <c:pt idx="5">
                    <c:v>P. CABO AT (FURO)</c:v>
                  </c:pt>
                  <c:pt idx="6">
                    <c:v>SPADE 160 (USINAGEM)</c:v>
                  </c:pt>
                  <c:pt idx="7">
                    <c:v>SPADE 400 (USINAGEM)</c:v>
                  </c:pt>
                  <c:pt idx="9">
                    <c:v>GRAMPO 160 (REBARBA)</c:v>
                  </c:pt>
                  <c:pt idx="10">
                    <c:v>GRAMPO 400 (REBARBA)</c:v>
                  </c:pt>
                  <c:pt idx="11">
                    <c:v>GRAMPO 400 (REBARBA)</c:v>
                  </c:pt>
                  <c:pt idx="12">
                    <c:v>SPADE 400 (REBARBA)</c:v>
                  </c:pt>
                  <c:pt idx="13">
                    <c:v>GRAMPO 400 (FORJA)</c:v>
                  </c:pt>
                  <c:pt idx="14">
                    <c:v>P. CABO BT 400 (FORJA)</c:v>
                  </c:pt>
                  <c:pt idx="15">
                    <c:v>P. CABO AT (FORJA)</c:v>
                  </c:pt>
                  <c:pt idx="16">
                    <c:v>TERMINAL AT (FORJA)</c:v>
                  </c:pt>
                  <c:pt idx="17">
                    <c:v>SPADE 160 (SOLDA)</c:v>
                  </c:pt>
                  <c:pt idx="18">
                    <c:v>SPADE 400 (SOLDA)</c:v>
                  </c:pt>
                  <c:pt idx="19">
                    <c:v>SPADE 160 (SOLDA)</c:v>
                  </c:pt>
                  <c:pt idx="20">
                    <c:v>SPADE 400 (SOLDA)</c:v>
                  </c:pt>
                  <c:pt idx="21">
                    <c:v>P. CABO AT (FURO)</c:v>
                  </c:pt>
                  <c:pt idx="22">
                    <c:v>SPADE 160 (USINAGEM)</c:v>
                  </c:pt>
                  <c:pt idx="23">
                    <c:v>P. CABO BT 400 (REBAIXO)</c:v>
                  </c:pt>
                  <c:pt idx="24">
                    <c:v>GRAMPO 160 (USINAGEM)</c:v>
                  </c:pt>
                  <c:pt idx="25">
                    <c:v>SPADE 400 (USINAGEM)</c:v>
                  </c:pt>
                  <c:pt idx="26">
                    <c:v>P. CABO AT (LAMINAÇÃO)</c:v>
                  </c:pt>
                  <c:pt idx="27">
                    <c:v>TERMINAL AT (CORTE)</c:v>
                  </c:pt>
                  <c:pt idx="28">
                    <c:v>P. CABO AT (REBARBA)</c:v>
                  </c:pt>
                </c:lvl>
                <c:lvl>
                  <c:pt idx="0">
                    <c:v>SERRA 1</c:v>
                  </c:pt>
                  <c:pt idx="1">
                    <c:v>FORJA 2</c:v>
                  </c:pt>
                  <c:pt idx="2">
                    <c:v>FORJA 3</c:v>
                  </c:pt>
                  <c:pt idx="3">
                    <c:v>SOLDA 1</c:v>
                  </c:pt>
                  <c:pt idx="4">
                    <c:v>SOLDA 2</c:v>
                  </c:pt>
                  <c:pt idx="5">
                    <c:v>CNC 1</c:v>
                  </c:pt>
                  <c:pt idx="6">
                    <c:v>CNC 2</c:v>
                  </c:pt>
                  <c:pt idx="7">
                    <c:v>CNC 5</c:v>
                  </c:pt>
                  <c:pt idx="9">
                    <c:v>PH 1</c:v>
                  </c:pt>
                  <c:pt idx="10">
                    <c:v>PH 1</c:v>
                  </c:pt>
                  <c:pt idx="11">
                    <c:v>PH 1</c:v>
                  </c:pt>
                  <c:pt idx="12">
                    <c:v>PH 2</c:v>
                  </c:pt>
                  <c:pt idx="13">
                    <c:v>FORJA 1</c:v>
                  </c:pt>
                  <c:pt idx="14">
                    <c:v>FORJA 1</c:v>
                  </c:pt>
                  <c:pt idx="15">
                    <c:v>FORJA 2</c:v>
                  </c:pt>
                  <c:pt idx="16">
                    <c:v>FORJA 3</c:v>
                  </c:pt>
                  <c:pt idx="17">
                    <c:v>SOLDA 1</c:v>
                  </c:pt>
                  <c:pt idx="18">
                    <c:v>SOLDA 1</c:v>
                  </c:pt>
                  <c:pt idx="19">
                    <c:v>SOLDA 2</c:v>
                  </c:pt>
                  <c:pt idx="20">
                    <c:v>SOLDA 2</c:v>
                  </c:pt>
                  <c:pt idx="21">
                    <c:v>CNC 1</c:v>
                  </c:pt>
                  <c:pt idx="22">
                    <c:v>CNC 2</c:v>
                  </c:pt>
                  <c:pt idx="23">
                    <c:v>CNC 3</c:v>
                  </c:pt>
                  <c:pt idx="24">
                    <c:v>CNC 4</c:v>
                  </c:pt>
                  <c:pt idx="25">
                    <c:v>CNC 5</c:v>
                  </c:pt>
                  <c:pt idx="26">
                    <c:v>LAMI. 1</c:v>
                  </c:pt>
                  <c:pt idx="27">
                    <c:v>SERRA 1</c:v>
                  </c:pt>
                  <c:pt idx="28">
                    <c:v>PP 80</c:v>
                  </c:pt>
                </c:lvl>
              </c:multiLvlStrCache>
            </c:multiLvlStrRef>
          </c:cat>
          <c:val>
            <c:numRef>
              <c:f>BD_LANÇAMENTOS!$T$3:$T$73</c:f>
              <c:numCache>
                <c:formatCode>0</c:formatCode>
                <c:ptCount val="71"/>
                <c:pt idx="0">
                  <c:v>4992</c:v>
                </c:pt>
                <c:pt idx="1">
                  <c:v>1404.0000000000002</c:v>
                </c:pt>
                <c:pt idx="2">
                  <c:v>1123.2</c:v>
                </c:pt>
                <c:pt idx="3">
                  <c:v>1474.2</c:v>
                </c:pt>
                <c:pt idx="4">
                  <c:v>1333.8000000000002</c:v>
                </c:pt>
                <c:pt idx="5">
                  <c:v>2106</c:v>
                </c:pt>
                <c:pt idx="6">
                  <c:v>873.60000000000014</c:v>
                </c:pt>
                <c:pt idx="7">
                  <c:v>686.40000000000009</c:v>
                </c:pt>
                <c:pt idx="8">
                  <c:v>0</c:v>
                </c:pt>
                <c:pt idx="9">
                  <c:v>2499.1999999999998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1583.9999999999998</c:v>
                </c:pt>
                <c:pt idx="14">
                  <c:v>1583.9999999999998</c:v>
                </c:pt>
                <c:pt idx="15">
                  <c:v>1583.9999999999998</c:v>
                </c:pt>
                <c:pt idx="16">
                  <c:v>1267.1999999999998</c:v>
                </c:pt>
                <c:pt idx="17">
                  <c:v>1504.7999999999997</c:v>
                </c:pt>
                <c:pt idx="18">
                  <c:v>879.99999999999989</c:v>
                </c:pt>
                <c:pt idx="19">
                  <c:v>1504.7999999999997</c:v>
                </c:pt>
                <c:pt idx="20">
                  <c:v>879.99999999999989</c:v>
                </c:pt>
                <c:pt idx="21">
                  <c:v>2375.9999999999995</c:v>
                </c:pt>
                <c:pt idx="22">
                  <c:v>985.59999999999991</c:v>
                </c:pt>
                <c:pt idx="23">
                  <c:v>1231.9999999999998</c:v>
                </c:pt>
                <c:pt idx="24">
                  <c:v>1548.7999999999997</c:v>
                </c:pt>
                <c:pt idx="25">
                  <c:v>774.39999999999986</c:v>
                </c:pt>
                <c:pt idx="26">
                  <c:v>7919.9999999999991</c:v>
                </c:pt>
                <c:pt idx="27">
                  <c:v>5631.9999999999991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F-47B5-B8B4-3289F351114C}"/>
            </c:ext>
          </c:extLst>
        </c:ser>
        <c:ser>
          <c:idx val="2"/>
          <c:order val="2"/>
          <c:tx>
            <c:strRef>
              <c:f>BD_LANÇAMENTOS!$U$2</c:f>
              <c:strCache>
                <c:ptCount val="1"/>
                <c:pt idx="0">
                  <c:v>PRODUT. %2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BD_LANÇAMENTOS!$A$3:$R$31</c:f>
              <c:multiLvlStrCache>
                <c:ptCount val="29"/>
                <c:lvl>
                  <c:pt idx="0">
                    <c:v>66,4%</c:v>
                  </c:pt>
                  <c:pt idx="1">
                    <c:v>106,6%</c:v>
                  </c:pt>
                  <c:pt idx="2">
                    <c:v>132,4%</c:v>
                  </c:pt>
                  <c:pt idx="3">
                    <c:v>57,6%</c:v>
                  </c:pt>
                  <c:pt idx="4">
                    <c:v>56,7%</c:v>
                  </c:pt>
                  <c:pt idx="5">
                    <c:v>91,3%</c:v>
                  </c:pt>
                  <c:pt idx="6">
                    <c:v>116,5%</c:v>
                  </c:pt>
                  <c:pt idx="7">
                    <c:v>110,6%</c:v>
                  </c:pt>
                  <c:pt idx="9">
                    <c:v>101,4%</c:v>
                  </c:pt>
                  <c:pt idx="13">
                    <c:v>78,0%</c:v>
                  </c:pt>
                  <c:pt idx="14">
                    <c:v>22,0%</c:v>
                  </c:pt>
                  <c:pt idx="15">
                    <c:v>82,7%</c:v>
                  </c:pt>
                  <c:pt idx="16">
                    <c:v>151,8%</c:v>
                  </c:pt>
                  <c:pt idx="17">
                    <c:v>69,8%</c:v>
                  </c:pt>
                  <c:pt idx="18">
                    <c:v>80,7%</c:v>
                  </c:pt>
                  <c:pt idx="19">
                    <c:v>91,2%</c:v>
                  </c:pt>
                  <c:pt idx="20">
                    <c:v>63,8%</c:v>
                  </c:pt>
                  <c:pt idx="21">
                    <c:v>92,4%</c:v>
                  </c:pt>
                  <c:pt idx="22">
                    <c:v>89,9%</c:v>
                  </c:pt>
                  <c:pt idx="23">
                    <c:v>101,3%</c:v>
                  </c:pt>
                  <c:pt idx="24">
                    <c:v>80,5%</c:v>
                  </c:pt>
                  <c:pt idx="25">
                    <c:v>109,3%</c:v>
                  </c:pt>
                  <c:pt idx="26">
                    <c:v>134,1%</c:v>
                  </c:pt>
                  <c:pt idx="27">
                    <c:v>71,3%</c:v>
                  </c:pt>
                </c:lvl>
                <c:lvl>
                  <c:pt idx="0">
                    <c:v>4405</c:v>
                  </c:pt>
                  <c:pt idx="1">
                    <c:v>1254</c:v>
                  </c:pt>
                  <c:pt idx="2">
                    <c:v>869</c:v>
                  </c:pt>
                  <c:pt idx="3">
                    <c:v>1355</c:v>
                  </c:pt>
                  <c:pt idx="4">
                    <c:v>1226</c:v>
                  </c:pt>
                  <c:pt idx="5">
                    <c:v>1805</c:v>
                  </c:pt>
                  <c:pt idx="6">
                    <c:v>790</c:v>
                  </c:pt>
                  <c:pt idx="7">
                    <c:v>629</c:v>
                  </c:pt>
                  <c:pt idx="8">
                    <c:v>0</c:v>
                  </c:pt>
                  <c:pt idx="9">
                    <c:v>95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774</c:v>
                  </c:pt>
                  <c:pt idx="14">
                    <c:v>495</c:v>
                  </c:pt>
                  <c:pt idx="15">
                    <c:v>1512</c:v>
                  </c:pt>
                  <c:pt idx="16">
                    <c:v>1318</c:v>
                  </c:pt>
                  <c:pt idx="17">
                    <c:v>593</c:v>
                  </c:pt>
                  <c:pt idx="18">
                    <c:v>397</c:v>
                  </c:pt>
                  <c:pt idx="19">
                    <c:v>428</c:v>
                  </c:pt>
                  <c:pt idx="20">
                    <c:v>313</c:v>
                  </c:pt>
                  <c:pt idx="21">
                    <c:v>949</c:v>
                  </c:pt>
                  <c:pt idx="22">
                    <c:v>903</c:v>
                  </c:pt>
                  <c:pt idx="23">
                    <c:v>1073</c:v>
                  </c:pt>
                  <c:pt idx="24">
                    <c:v>1431</c:v>
                  </c:pt>
                  <c:pt idx="25">
                    <c:v>659</c:v>
                  </c:pt>
                  <c:pt idx="26">
                    <c:v>4815</c:v>
                  </c:pt>
                  <c:pt idx="27">
                    <c:v>5952</c:v>
                  </c:pt>
                  <c:pt idx="28">
                    <c:v>0</c:v>
                  </c:pt>
                </c:lvl>
                <c:lvl>
                  <c:pt idx="0">
                    <c:v>06:53:00</c:v>
                  </c:pt>
                  <c:pt idx="1">
                    <c:v>06:58:00</c:v>
                  </c:pt>
                  <c:pt idx="2">
                    <c:v>06:02:00</c:v>
                  </c:pt>
                  <c:pt idx="3">
                    <c:v>07:10:00</c:v>
                  </c:pt>
                  <c:pt idx="4">
                    <c:v>07:10:00</c:v>
                  </c:pt>
                  <c:pt idx="5">
                    <c:v>06:41:00</c:v>
                  </c:pt>
                  <c:pt idx="6">
                    <c:v>07:03:00</c:v>
                  </c:pt>
                  <c:pt idx="7">
                    <c:v>07:09:00</c:v>
                  </c:pt>
                  <c:pt idx="8">
                    <c:v>0</c:v>
                  </c:pt>
                  <c:pt idx="9">
                    <c:v>00:20:00</c:v>
                  </c:pt>
                  <c:pt idx="10">
                    <c:v>05:28:00</c:v>
                  </c:pt>
                  <c:pt idx="11">
                    <c:v>01:39:00</c:v>
                  </c:pt>
                  <c:pt idx="12">
                    <c:v>07:21:00</c:v>
                  </c:pt>
                  <c:pt idx="13">
                    <c:v>04:18:00</c:v>
                  </c:pt>
                  <c:pt idx="14">
                    <c:v>02:45:00</c:v>
                  </c:pt>
                  <c:pt idx="15">
                    <c:v>08:24:00</c:v>
                  </c:pt>
                  <c:pt idx="16">
                    <c:v>09:09:00</c:v>
                  </c:pt>
                  <c:pt idx="17">
                    <c:v>03:28:00</c:v>
                  </c:pt>
                  <c:pt idx="18">
                    <c:v>03:58:00</c:v>
                  </c:pt>
                  <c:pt idx="19">
                    <c:v>02:30:00</c:v>
                  </c:pt>
                  <c:pt idx="20">
                    <c:v>03:08:00</c:v>
                  </c:pt>
                  <c:pt idx="21">
                    <c:v>03:31:00</c:v>
                  </c:pt>
                  <c:pt idx="22">
                    <c:v>08:04:00</c:v>
                  </c:pt>
                  <c:pt idx="23">
                    <c:v>07:40:00</c:v>
                  </c:pt>
                  <c:pt idx="24">
                    <c:v>08:08:00</c:v>
                  </c:pt>
                  <c:pt idx="25">
                    <c:v>07:29:00</c:v>
                  </c:pt>
                  <c:pt idx="26">
                    <c:v>05:21:00</c:v>
                  </c:pt>
                  <c:pt idx="27">
                    <c:v>09:18:00</c:v>
                  </c:pt>
                  <c:pt idx="28">
                    <c:v>08:15:00</c:v>
                  </c:pt>
                </c:lvl>
                <c:lvl>
                  <c:pt idx="0">
                    <c:v>2:07</c:v>
                  </c:pt>
                  <c:pt idx="1">
                    <c:v>2:02</c:v>
                  </c:pt>
                  <c:pt idx="2">
                    <c:v>2:58</c:v>
                  </c:pt>
                  <c:pt idx="3">
                    <c:v>1:50</c:v>
                  </c:pt>
                  <c:pt idx="4">
                    <c:v>1:50</c:v>
                  </c:pt>
                  <c:pt idx="5">
                    <c:v>2:19</c:v>
                  </c:pt>
                  <c:pt idx="6">
                    <c:v>1:57</c:v>
                  </c:pt>
                  <c:pt idx="7">
                    <c:v>1:51</c:v>
                  </c:pt>
                  <c:pt idx="9">
                    <c:v>0:40</c:v>
                  </c:pt>
                  <c:pt idx="10">
                    <c:v>1:38</c:v>
                  </c:pt>
                  <c:pt idx="11">
                    <c:v>0:15</c:v>
                  </c:pt>
                  <c:pt idx="12">
                    <c:v>2:39</c:v>
                  </c:pt>
                  <c:pt idx="13">
                    <c:v>0:32</c:v>
                  </c:pt>
                  <c:pt idx="14">
                    <c:v>2:25</c:v>
                  </c:pt>
                  <c:pt idx="15">
                    <c:v>1:36</c:v>
                  </c:pt>
                  <c:pt idx="16">
                    <c:v>1:51</c:v>
                  </c:pt>
                  <c:pt idx="17">
                    <c:v>1:14</c:v>
                  </c:pt>
                  <c:pt idx="18">
                    <c:v>1:20</c:v>
                  </c:pt>
                  <c:pt idx="19">
                    <c:v>1:00</c:v>
                  </c:pt>
                  <c:pt idx="20">
                    <c:v>3:22</c:v>
                  </c:pt>
                  <c:pt idx="21">
                    <c:v>6:29</c:v>
                  </c:pt>
                  <c:pt idx="22">
                    <c:v>1:56</c:v>
                  </c:pt>
                  <c:pt idx="23">
                    <c:v>2:20</c:v>
                  </c:pt>
                  <c:pt idx="24">
                    <c:v>1:52</c:v>
                  </c:pt>
                  <c:pt idx="25">
                    <c:v>2:31</c:v>
                  </c:pt>
                  <c:pt idx="26">
                    <c:v>4:39</c:v>
                  </c:pt>
                  <c:pt idx="27">
                    <c:v>0:42</c:v>
                  </c:pt>
                  <c:pt idx="28">
                    <c:v>1:45</c:v>
                  </c:pt>
                </c:lvl>
                <c:lvl>
                  <c:pt idx="0">
                    <c:v>25/5/26 6:00</c:v>
                  </c:pt>
                  <c:pt idx="1">
                    <c:v>25/5/26 6:00</c:v>
                  </c:pt>
                  <c:pt idx="2">
                    <c:v>25/5/26 6:00</c:v>
                  </c:pt>
                  <c:pt idx="3">
                    <c:v>25/5/26 6:00</c:v>
                  </c:pt>
                  <c:pt idx="4">
                    <c:v>25/5/26 6:00</c:v>
                  </c:pt>
                  <c:pt idx="5">
                    <c:v>25/5/26 6:00</c:v>
                  </c:pt>
                  <c:pt idx="6">
                    <c:v>25/5/26 6:00</c:v>
                  </c:pt>
                  <c:pt idx="7">
                    <c:v>25/5/26 6:00</c:v>
                  </c:pt>
                  <c:pt idx="9">
                    <c:v>25/5/26 7:00</c:v>
                  </c:pt>
                  <c:pt idx="10">
                    <c:v>25/5/26 14:06</c:v>
                  </c:pt>
                  <c:pt idx="11">
                    <c:v>25/5/26 16:00</c:v>
                  </c:pt>
                  <c:pt idx="12">
                    <c:v>25/5/26 16:00</c:v>
                  </c:pt>
                  <c:pt idx="13">
                    <c:v>25/5/26 10:50</c:v>
                  </c:pt>
                  <c:pt idx="14">
                    <c:v>25/5/26 16:00</c:v>
                  </c:pt>
                  <c:pt idx="15">
                    <c:v>25/5/26 16:00</c:v>
                  </c:pt>
                  <c:pt idx="16">
                    <c:v>25/5/26 17:00</c:v>
                  </c:pt>
                  <c:pt idx="17">
                    <c:v>25/5/26 10:42</c:v>
                  </c:pt>
                  <c:pt idx="18">
                    <c:v>25/5/26 16:00</c:v>
                  </c:pt>
                  <c:pt idx="19">
                    <c:v>25/5/26 9:30</c:v>
                  </c:pt>
                  <c:pt idx="20">
                    <c:v>25/5/26 16:00</c:v>
                  </c:pt>
                  <c:pt idx="21">
                    <c:v>25/5/26 16:00</c:v>
                  </c:pt>
                  <c:pt idx="22">
                    <c:v>25/5/26 16:00</c:v>
                  </c:pt>
                  <c:pt idx="23">
                    <c:v>25/5/26 16:00</c:v>
                  </c:pt>
                  <c:pt idx="24">
                    <c:v>25/5/26 16:00</c:v>
                  </c:pt>
                  <c:pt idx="25">
                    <c:v>25/5/26 16:00</c:v>
                  </c:pt>
                  <c:pt idx="26">
                    <c:v>25/5/26 16:00</c:v>
                  </c:pt>
                  <c:pt idx="27">
                    <c:v>25/5/26 16:00</c:v>
                  </c:pt>
                  <c:pt idx="28">
                    <c:v>25/5/26 16:00</c:v>
                  </c:pt>
                </c:lvl>
                <c:lvl>
                  <c:pt idx="0">
                    <c:v>24/5/26 21:00</c:v>
                  </c:pt>
                  <c:pt idx="1">
                    <c:v>24/5/26 21:00</c:v>
                  </c:pt>
                  <c:pt idx="2">
                    <c:v>24/5/26 21:00</c:v>
                  </c:pt>
                  <c:pt idx="3">
                    <c:v>24/5/26 21:00</c:v>
                  </c:pt>
                  <c:pt idx="4">
                    <c:v>24/5/26 21:00</c:v>
                  </c:pt>
                  <c:pt idx="5">
                    <c:v>24/5/26 21:00</c:v>
                  </c:pt>
                  <c:pt idx="6">
                    <c:v>24/5/26 21:00</c:v>
                  </c:pt>
                  <c:pt idx="7">
                    <c:v>24/5/26 21:00</c:v>
                  </c:pt>
                  <c:pt idx="9">
                    <c:v>25/5/26 6:00</c:v>
                  </c:pt>
                  <c:pt idx="10">
                    <c:v>25/5/26 7:00</c:v>
                  </c:pt>
                  <c:pt idx="11">
                    <c:v>25/5/26 14:06</c:v>
                  </c:pt>
                  <c:pt idx="12">
                    <c:v>25/5/26 6:00</c:v>
                  </c:pt>
                  <c:pt idx="13">
                    <c:v>25/5/26 6:00</c:v>
                  </c:pt>
                  <c:pt idx="14">
                    <c:v>25/5/26 10:50</c:v>
                  </c:pt>
                  <c:pt idx="15">
                    <c:v>25/5/26 6:00</c:v>
                  </c:pt>
                  <c:pt idx="16">
                    <c:v>25/5/26 6:00</c:v>
                  </c:pt>
                  <c:pt idx="17">
                    <c:v>25/5/26 6:00</c:v>
                  </c:pt>
                  <c:pt idx="18">
                    <c:v>25/5/26 10:42</c:v>
                  </c:pt>
                  <c:pt idx="19">
                    <c:v>25/5/26 6:00</c:v>
                  </c:pt>
                  <c:pt idx="20">
                    <c:v>25/5/26 9:30</c:v>
                  </c:pt>
                  <c:pt idx="21">
                    <c:v>25/5/26 6:00</c:v>
                  </c:pt>
                  <c:pt idx="22">
                    <c:v>25/5/26 6:00</c:v>
                  </c:pt>
                  <c:pt idx="23">
                    <c:v>25/5/26 6:00</c:v>
                  </c:pt>
                  <c:pt idx="24">
                    <c:v>25/5/26 6:00</c:v>
                  </c:pt>
                  <c:pt idx="25">
                    <c:v>25/5/26 6:00</c:v>
                  </c:pt>
                  <c:pt idx="26">
                    <c:v>25/5/26 6:00</c:v>
                  </c:pt>
                  <c:pt idx="27">
                    <c:v>25/5/26 6:00</c:v>
                  </c:pt>
                  <c:pt idx="28">
                    <c:v>25/5/26 6:00</c:v>
                  </c:pt>
                </c:lvl>
                <c:lvl>
                  <c:pt idx="0">
                    <c:v>2926</c:v>
                  </c:pt>
                  <c:pt idx="1">
                    <c:v>1337</c:v>
                  </c:pt>
                  <c:pt idx="2">
                    <c:v>1150</c:v>
                  </c:pt>
                  <c:pt idx="3">
                    <c:v>780</c:v>
                  </c:pt>
                  <c:pt idx="4">
                    <c:v>695</c:v>
                  </c:pt>
                  <c:pt idx="5">
                    <c:v>1648</c:v>
                  </c:pt>
                  <c:pt idx="6">
                    <c:v>920</c:v>
                  </c:pt>
                  <c:pt idx="7">
                    <c:v>696</c:v>
                  </c:pt>
                  <c:pt idx="9">
                    <c:v>96</c:v>
                  </c:pt>
                  <c:pt idx="10">
                    <c:v>1183</c:v>
                  </c:pt>
                  <c:pt idx="11">
                    <c:v>300</c:v>
                  </c:pt>
                  <c:pt idx="12">
                    <c:v>1.845</c:v>
                  </c:pt>
                  <c:pt idx="13">
                    <c:v>604</c:v>
                  </c:pt>
                  <c:pt idx="14">
                    <c:v>109</c:v>
                  </c:pt>
                  <c:pt idx="15">
                    <c:v>1250</c:v>
                  </c:pt>
                  <c:pt idx="16">
                    <c:v>2000</c:v>
                  </c:pt>
                  <c:pt idx="17">
                    <c:v>414</c:v>
                  </c:pt>
                  <c:pt idx="18">
                    <c:v>320</c:v>
                  </c:pt>
                  <c:pt idx="19">
                    <c:v>390</c:v>
                  </c:pt>
                  <c:pt idx="20">
                    <c:v>200</c:v>
                  </c:pt>
                  <c:pt idx="21">
                    <c:v>877</c:v>
                  </c:pt>
                  <c:pt idx="22">
                    <c:v>812</c:v>
                  </c:pt>
                  <c:pt idx="23">
                    <c:v>1087</c:v>
                  </c:pt>
                  <c:pt idx="24">
                    <c:v>1152</c:v>
                  </c:pt>
                  <c:pt idx="25">
                    <c:v>720</c:v>
                  </c:pt>
                  <c:pt idx="26">
                    <c:v>6455</c:v>
                  </c:pt>
                  <c:pt idx="27">
                    <c:v>4246</c:v>
                  </c:pt>
                  <c:pt idx="28">
                    <c:v>3658</c:v>
                  </c:pt>
                </c:lvl>
                <c:lvl>
                  <c:pt idx="0">
                    <c:v>SANDRO</c:v>
                  </c:pt>
                  <c:pt idx="1">
                    <c:v>JOÃO BATISTA</c:v>
                  </c:pt>
                  <c:pt idx="2">
                    <c:v>REGINALDO</c:v>
                  </c:pt>
                  <c:pt idx="3">
                    <c:v>VALMIR</c:v>
                  </c:pt>
                  <c:pt idx="4">
                    <c:v>VINICIUS</c:v>
                  </c:pt>
                  <c:pt idx="5">
                    <c:v>EDMAR</c:v>
                  </c:pt>
                  <c:pt idx="6">
                    <c:v>JOÃO EDUARDO</c:v>
                  </c:pt>
                  <c:pt idx="7">
                    <c:v>MATEUS</c:v>
                  </c:pt>
                  <c:pt idx="9">
                    <c:v>JOAO LOPES</c:v>
                  </c:pt>
                  <c:pt idx="10">
                    <c:v>JOAO LOPES</c:v>
                  </c:pt>
                  <c:pt idx="11">
                    <c:v>FABIO</c:v>
                  </c:pt>
                  <c:pt idx="12">
                    <c:v>DANIEL</c:v>
                  </c:pt>
                  <c:pt idx="13">
                    <c:v>ANDERSON</c:v>
                  </c:pt>
                  <c:pt idx="14">
                    <c:v>ANDERSON</c:v>
                  </c:pt>
                  <c:pt idx="15">
                    <c:v>KILBER</c:v>
                  </c:pt>
                  <c:pt idx="16">
                    <c:v>AGUINALDO</c:v>
                  </c:pt>
                  <c:pt idx="17">
                    <c:v>CLAUDINEI</c:v>
                  </c:pt>
                  <c:pt idx="18">
                    <c:v>CLAUDINEI</c:v>
                  </c:pt>
                  <c:pt idx="19">
                    <c:v>RAFAEL</c:v>
                  </c:pt>
                  <c:pt idx="20">
                    <c:v>RAFAEL</c:v>
                  </c:pt>
                  <c:pt idx="21">
                    <c:v>PATRICIA</c:v>
                  </c:pt>
                  <c:pt idx="22">
                    <c:v>RAÍ</c:v>
                  </c:pt>
                  <c:pt idx="23">
                    <c:v>ALEX</c:v>
                  </c:pt>
                  <c:pt idx="24">
                    <c:v>TIAGO</c:v>
                  </c:pt>
                  <c:pt idx="25">
                    <c:v>DHIEGO</c:v>
                  </c:pt>
                  <c:pt idx="26">
                    <c:v>JOÃO PEDRO</c:v>
                  </c:pt>
                  <c:pt idx="27">
                    <c:v>VAGNER</c:v>
                  </c:pt>
                  <c:pt idx="28">
                    <c:v>RENATO</c:v>
                  </c:pt>
                </c:lvl>
                <c:lvl>
                  <c:pt idx="0">
                    <c:v>TERMINAL AT (CORTE)</c:v>
                  </c:pt>
                  <c:pt idx="1">
                    <c:v>P. CABO AT (FORJA)</c:v>
                  </c:pt>
                  <c:pt idx="2">
                    <c:v>TERMINAL AT (FORJA)</c:v>
                  </c:pt>
                  <c:pt idx="3">
                    <c:v>GRAMPO 160 (SOLDA)</c:v>
                  </c:pt>
                  <c:pt idx="4">
                    <c:v>SPADE 160 (SOLDA)</c:v>
                  </c:pt>
                  <c:pt idx="5">
                    <c:v>P. CABO AT (FURO)</c:v>
                  </c:pt>
                  <c:pt idx="6">
                    <c:v>SPADE 160 (USINAGEM)</c:v>
                  </c:pt>
                  <c:pt idx="7">
                    <c:v>SPADE 400 (USINAGEM)</c:v>
                  </c:pt>
                  <c:pt idx="9">
                    <c:v>GRAMPO 160 (REBARBA)</c:v>
                  </c:pt>
                  <c:pt idx="10">
                    <c:v>GRAMPO 400 (REBARBA)</c:v>
                  </c:pt>
                  <c:pt idx="11">
                    <c:v>GRAMPO 400 (REBARBA)</c:v>
                  </c:pt>
                  <c:pt idx="12">
                    <c:v>SPADE 400 (REBARBA)</c:v>
                  </c:pt>
                  <c:pt idx="13">
                    <c:v>GRAMPO 400 (FORJA)</c:v>
                  </c:pt>
                  <c:pt idx="14">
                    <c:v>P. CABO BT 400 (FORJA)</c:v>
                  </c:pt>
                  <c:pt idx="15">
                    <c:v>P. CABO AT (FORJA)</c:v>
                  </c:pt>
                  <c:pt idx="16">
                    <c:v>TERMINAL AT (FORJA)</c:v>
                  </c:pt>
                  <c:pt idx="17">
                    <c:v>SPADE 160 (SOLDA)</c:v>
                  </c:pt>
                  <c:pt idx="18">
                    <c:v>SPADE 400 (SOLDA)</c:v>
                  </c:pt>
                  <c:pt idx="19">
                    <c:v>SPADE 160 (SOLDA)</c:v>
                  </c:pt>
                  <c:pt idx="20">
                    <c:v>SPADE 400 (SOLDA)</c:v>
                  </c:pt>
                  <c:pt idx="21">
                    <c:v>P. CABO AT (FURO)</c:v>
                  </c:pt>
                  <c:pt idx="22">
                    <c:v>SPADE 160 (USINAGEM)</c:v>
                  </c:pt>
                  <c:pt idx="23">
                    <c:v>P. CABO BT 400 (REBAIXO)</c:v>
                  </c:pt>
                  <c:pt idx="24">
                    <c:v>GRAMPO 160 (USINAGEM)</c:v>
                  </c:pt>
                  <c:pt idx="25">
                    <c:v>SPADE 400 (USINAGEM)</c:v>
                  </c:pt>
                  <c:pt idx="26">
                    <c:v>P. CABO AT (LAMINAÇÃO)</c:v>
                  </c:pt>
                  <c:pt idx="27">
                    <c:v>TERMINAL AT (CORTE)</c:v>
                  </c:pt>
                  <c:pt idx="28">
                    <c:v>P. CABO AT (REBARBA)</c:v>
                  </c:pt>
                </c:lvl>
                <c:lvl>
                  <c:pt idx="0">
                    <c:v>SERRA 1</c:v>
                  </c:pt>
                  <c:pt idx="1">
                    <c:v>FORJA 2</c:v>
                  </c:pt>
                  <c:pt idx="2">
                    <c:v>FORJA 3</c:v>
                  </c:pt>
                  <c:pt idx="3">
                    <c:v>SOLDA 1</c:v>
                  </c:pt>
                  <c:pt idx="4">
                    <c:v>SOLDA 2</c:v>
                  </c:pt>
                  <c:pt idx="5">
                    <c:v>CNC 1</c:v>
                  </c:pt>
                  <c:pt idx="6">
                    <c:v>CNC 2</c:v>
                  </c:pt>
                  <c:pt idx="7">
                    <c:v>CNC 5</c:v>
                  </c:pt>
                  <c:pt idx="9">
                    <c:v>PH 1</c:v>
                  </c:pt>
                  <c:pt idx="10">
                    <c:v>PH 1</c:v>
                  </c:pt>
                  <c:pt idx="11">
                    <c:v>PH 1</c:v>
                  </c:pt>
                  <c:pt idx="12">
                    <c:v>PH 2</c:v>
                  </c:pt>
                  <c:pt idx="13">
                    <c:v>FORJA 1</c:v>
                  </c:pt>
                  <c:pt idx="14">
                    <c:v>FORJA 1</c:v>
                  </c:pt>
                  <c:pt idx="15">
                    <c:v>FORJA 2</c:v>
                  </c:pt>
                  <c:pt idx="16">
                    <c:v>FORJA 3</c:v>
                  </c:pt>
                  <c:pt idx="17">
                    <c:v>SOLDA 1</c:v>
                  </c:pt>
                  <c:pt idx="18">
                    <c:v>SOLDA 1</c:v>
                  </c:pt>
                  <c:pt idx="19">
                    <c:v>SOLDA 2</c:v>
                  </c:pt>
                  <c:pt idx="20">
                    <c:v>SOLDA 2</c:v>
                  </c:pt>
                  <c:pt idx="21">
                    <c:v>CNC 1</c:v>
                  </c:pt>
                  <c:pt idx="22">
                    <c:v>CNC 2</c:v>
                  </c:pt>
                  <c:pt idx="23">
                    <c:v>CNC 3</c:v>
                  </c:pt>
                  <c:pt idx="24">
                    <c:v>CNC 4</c:v>
                  </c:pt>
                  <c:pt idx="25">
                    <c:v>CNC 5</c:v>
                  </c:pt>
                  <c:pt idx="26">
                    <c:v>LAMI. 1</c:v>
                  </c:pt>
                  <c:pt idx="27">
                    <c:v>SERRA 1</c:v>
                  </c:pt>
                  <c:pt idx="28">
                    <c:v>PP 80</c:v>
                  </c:pt>
                </c:lvl>
              </c:multiLvlStrCache>
            </c:multiLvlStrRef>
          </c:cat>
          <c:val>
            <c:numRef>
              <c:f>BD_LANÇAMENTOS!$U$3:$U$73</c:f>
              <c:numCache>
                <c:formatCode>0.0%</c:formatCode>
                <c:ptCount val="71"/>
                <c:pt idx="0">
                  <c:v>0.58613782051282048</c:v>
                </c:pt>
                <c:pt idx="1">
                  <c:v>0.95227920227920215</c:v>
                </c:pt>
                <c:pt idx="2">
                  <c:v>1.0238603988603989</c:v>
                </c:pt>
                <c:pt idx="3">
                  <c:v>0.52910052910052907</c:v>
                </c:pt>
                <c:pt idx="4">
                  <c:v>0.52106762633078418</c:v>
                </c:pt>
                <c:pt idx="5">
                  <c:v>0.7825261158594492</c:v>
                </c:pt>
                <c:pt idx="6">
                  <c:v>1.0531135531135529</c:v>
                </c:pt>
                <c:pt idx="7">
                  <c:v>1.013986013986014</c:v>
                </c:pt>
                <c:pt idx="8" formatCode="General">
                  <c:v>0</c:v>
                </c:pt>
                <c:pt idx="9">
                  <c:v>3.8412291933418698E-2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0.38131313131313138</c:v>
                </c:pt>
                <c:pt idx="14">
                  <c:v>6.8813131313131326E-2</c:v>
                </c:pt>
                <c:pt idx="15">
                  <c:v>0.78914141414141425</c:v>
                </c:pt>
                <c:pt idx="16">
                  <c:v>1.5782828282828285</c:v>
                </c:pt>
                <c:pt idx="17">
                  <c:v>0.27511961722488043</c:v>
                </c:pt>
                <c:pt idx="18">
                  <c:v>0.3636363636363637</c:v>
                </c:pt>
                <c:pt idx="19">
                  <c:v>0.25917065390749605</c:v>
                </c:pt>
                <c:pt idx="20">
                  <c:v>0.22727272727272729</c:v>
                </c:pt>
                <c:pt idx="21">
                  <c:v>0.36910774410774416</c:v>
                </c:pt>
                <c:pt idx="22">
                  <c:v>0.82386363636363646</c:v>
                </c:pt>
                <c:pt idx="23">
                  <c:v>0.88230519480519498</c:v>
                </c:pt>
                <c:pt idx="24">
                  <c:v>0.74380165289256206</c:v>
                </c:pt>
                <c:pt idx="25">
                  <c:v>0.9297520661157026</c:v>
                </c:pt>
                <c:pt idx="26">
                  <c:v>0.8150252525252526</c:v>
                </c:pt>
                <c:pt idx="27">
                  <c:v>0.75390625000000011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0F-47B5-B8B4-3289F3511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646655"/>
        <c:axId val="993647135"/>
      </c:barChart>
      <c:catAx>
        <c:axId val="99364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3647135"/>
        <c:crosses val="autoZero"/>
        <c:auto val="1"/>
        <c:lblAlgn val="ctr"/>
        <c:lblOffset val="100"/>
        <c:noMultiLvlLbl val="0"/>
      </c:catAx>
      <c:valAx>
        <c:axId val="99364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364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BD_LANÇAMENTOS!$O$2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BD_LANÇAMENTOS!$O$3:$O$73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BD_LANÇAMENTOS!#REF!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991-4386-ABD6-E037C6BB1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493536"/>
        <c:axId val="1989469536"/>
      </c:barChart>
      <c:catAx>
        <c:axId val="19894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9469536"/>
        <c:crosses val="autoZero"/>
        <c:auto val="1"/>
        <c:lblAlgn val="ctr"/>
        <c:lblOffset val="100"/>
        <c:noMultiLvlLbl val="0"/>
      </c:catAx>
      <c:valAx>
        <c:axId val="19894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949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FORJAMENTO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PROJETO!$B$4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16C-4AB3-9B43-BB808FA785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PROJETO!$A$5:$A$10</c:f>
              <c:strCache>
                <c:ptCount val="6"/>
                <c:pt idx="0">
                  <c:v>JOSÉ MARIO</c:v>
                </c:pt>
                <c:pt idx="1">
                  <c:v>JOÃO PAULO</c:v>
                </c:pt>
                <c:pt idx="2">
                  <c:v>RAFAEL</c:v>
                </c:pt>
                <c:pt idx="3">
                  <c:v>JOÃO BATISTA</c:v>
                </c:pt>
                <c:pt idx="4">
                  <c:v>REGINALDO</c:v>
                </c:pt>
                <c:pt idx="5">
                  <c:v>AGNALDO</c:v>
                </c:pt>
              </c:strCache>
            </c:strRef>
          </c:cat>
          <c:val>
            <c:numRef>
              <c:f>PROJETO!$B$5:$B$10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C-4AB3-9B43-BB808FA7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axId val="988574991"/>
        <c:axId val="988575951"/>
      </c:barChart>
      <c:catAx>
        <c:axId val="9885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575951"/>
        <c:crosses val="autoZero"/>
        <c:auto val="1"/>
        <c:lblAlgn val="ctr"/>
        <c:lblOffset val="100"/>
        <c:noMultiLvlLbl val="0"/>
      </c:catAx>
      <c:valAx>
        <c:axId val="988575951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98857499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CNC´S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PROJETO!$B$22</c:f>
              <c:strCache>
                <c:ptCount val="1"/>
                <c:pt idx="0">
                  <c:v>PRODUCAO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PROJETO!$A$23:$A$28</c:f>
              <c:strCache>
                <c:ptCount val="6"/>
                <c:pt idx="0">
                  <c:v>PATRICIA</c:v>
                </c:pt>
                <c:pt idx="1">
                  <c:v>DHIEGO</c:v>
                </c:pt>
                <c:pt idx="2">
                  <c:v>RAFAEL</c:v>
                </c:pt>
                <c:pt idx="3">
                  <c:v>ALEXANDRO</c:v>
                </c:pt>
                <c:pt idx="4">
                  <c:v>JOÃO EDUARDO</c:v>
                </c:pt>
                <c:pt idx="5">
                  <c:v>TIAGO</c:v>
                </c:pt>
              </c:strCache>
            </c:strRef>
          </c:cat>
          <c:val>
            <c:numRef>
              <c:f>PROJETO!$B$23:$B$28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2-4336-9D5C-740EFF4F4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762319"/>
        <c:axId val="1294750319"/>
      </c:barChart>
      <c:catAx>
        <c:axId val="129476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750319"/>
        <c:crosses val="autoZero"/>
        <c:auto val="1"/>
        <c:lblAlgn val="ctr"/>
        <c:lblOffset val="100"/>
        <c:noMultiLvlLbl val="0"/>
      </c:catAx>
      <c:valAx>
        <c:axId val="129475031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29476231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SOLDAS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0397616180038719E-2"/>
          <c:y val="0.1355726479350943"/>
          <c:w val="0.92845451952718405"/>
          <c:h val="0.737103888911207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PROJETO!$B$35</c:f>
              <c:strCache>
                <c:ptCount val="1"/>
                <c:pt idx="0">
                  <c:v>PRODUCAO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PROJETO!$A$36:$A$38</c:f>
              <c:strCache>
                <c:ptCount val="3"/>
                <c:pt idx="0">
                  <c:v>VINICIUS</c:v>
                </c:pt>
                <c:pt idx="1">
                  <c:v>CLAUDINEI</c:v>
                </c:pt>
                <c:pt idx="2">
                  <c:v>EDMAR</c:v>
                </c:pt>
              </c:strCache>
            </c:strRef>
          </c:cat>
          <c:val>
            <c:numRef>
              <c:f>PROJETO!$B$36:$B$38</c:f>
              <c:numCache>
                <c:formatCode>_-* #,##0_-;\-* #,##0_-;_-*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0-410E-8B4C-B066CBF89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6974591"/>
        <c:axId val="986971231"/>
      </c:barChart>
      <c:catAx>
        <c:axId val="9869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6971231"/>
        <c:crosses val="autoZero"/>
        <c:auto val="1"/>
        <c:lblAlgn val="ctr"/>
        <c:lblOffset val="100"/>
        <c:noMultiLvlLbl val="0"/>
      </c:catAx>
      <c:valAx>
        <c:axId val="986971231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98697459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PRODUÇÃO</a:t>
            </a:r>
            <a:r>
              <a:rPr lang="en-US" b="1" baseline="0"/>
              <a:t> MÊS A MÊS - </a:t>
            </a:r>
            <a:r>
              <a:rPr lang="en-US" b="1"/>
              <a:t>FORJAMENTO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PROJETO!$E$3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3EB-4C89-A112-03DDE8BD2C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PROJETO!$D$4:$D$15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PROJETO!$E$4:$E$15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B-4C89-A112-03DDE8BD2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axId val="988574991"/>
        <c:axId val="988575951"/>
      </c:barChart>
      <c:catAx>
        <c:axId val="9885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575951"/>
        <c:crosses val="autoZero"/>
        <c:auto val="1"/>
        <c:lblAlgn val="ctr"/>
        <c:lblOffset val="100"/>
        <c:noMultiLvlLbl val="0"/>
      </c:catAx>
      <c:valAx>
        <c:axId val="988575951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988574991"/>
        <c:crosses val="autoZero"/>
        <c:crossBetween val="between"/>
      </c:valAx>
    </c:plotArea>
    <c:plotVisOnly val="0"/>
    <c:dispBlanksAs val="gap"/>
    <c:showDLblsOverMax val="0"/>
    <c:extLst/>
  </c:chart>
  <c:spPr>
    <a:solidFill>
      <a:schemeClr val="bg1"/>
    </a:solidFill>
    <a:ln w="1587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PRODUÇÃO MÊS A MÊS - CNC'S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PROJETO!$E$3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904-4F04-8408-A7BCD263DE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PROJETO!$D$22:$D$33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PROJETO!$E$22:$E$33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4-4F04-8408-A7BCD263D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axId val="988574991"/>
        <c:axId val="988575951"/>
      </c:barChart>
      <c:catAx>
        <c:axId val="9885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575951"/>
        <c:crosses val="autoZero"/>
        <c:auto val="1"/>
        <c:lblAlgn val="ctr"/>
        <c:lblOffset val="100"/>
        <c:noMultiLvlLbl val="0"/>
      </c:catAx>
      <c:valAx>
        <c:axId val="988575951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988574991"/>
        <c:crosses val="autoZero"/>
        <c:crossBetween val="between"/>
      </c:valAx>
    </c:plotArea>
    <c:plotVisOnly val="0"/>
    <c:dispBlanksAs val="gap"/>
    <c:showDLblsOverMax val="0"/>
    <c:extLst/>
  </c:chart>
  <c:spPr>
    <a:solidFill>
      <a:schemeClr val="bg1"/>
    </a:solidFill>
    <a:ln w="1587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PRODUÇÃO MÊS A MÊS - SOLDAS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PROJETO!$E$3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AC9-4AE4-A70A-E2ABC1A30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PROJETO!$D$36:$D$47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PROJETO!$E$36:$E$47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C9-4AE4-A70A-E2ABC1A3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axId val="988574991"/>
        <c:axId val="988575951"/>
      </c:barChart>
      <c:catAx>
        <c:axId val="9885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575951"/>
        <c:crosses val="autoZero"/>
        <c:auto val="1"/>
        <c:lblAlgn val="ctr"/>
        <c:lblOffset val="100"/>
        <c:noMultiLvlLbl val="0"/>
      </c:catAx>
      <c:valAx>
        <c:axId val="988575951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988574991"/>
        <c:crosses val="autoZero"/>
        <c:crossBetween val="between"/>
      </c:valAx>
    </c:plotArea>
    <c:plotVisOnly val="0"/>
    <c:dispBlanksAs val="gap"/>
    <c:showDLblsOverMax val="0"/>
    <c:extLst/>
  </c:chart>
  <c:spPr>
    <a:solidFill>
      <a:schemeClr val="bg1"/>
    </a:solidFill>
    <a:ln w="1587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062B90-753F-4639-82C1-F25023825914}">
  <sheetPr/>
  <sheetViews>
    <sheetView zoomScale="71" workbookViewId="0" zoomToFit="1"/>
  </sheetView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238A8B-4E1A-4178-BC22-839CEB004BC8}">
  <sheetPr/>
  <sheetViews>
    <sheetView zoomScale="71" workbookViewId="0" zoomToFit="1"/>
  </sheetViews>
  <pageMargins left="0.511811024" right="0.511811024" top="0.78740157499999996" bottom="0.78740157499999996" header="0.31496062000000002" footer="0.31496062000000002"/>
  <pageSetup paperSize="256" orientation="landscape" horizontalDpi="203" verticalDpi="203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2324" cy="59967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C18A2F-65A5-44EF-ABF7-AE3B6065E1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2324" cy="59967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2622CF-9C9E-A6E2-E2A3-0CD0E0B123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222438</xdr:colOff>
      <xdr:row>3</xdr:row>
      <xdr:rowOff>0</xdr:rowOff>
    </xdr:from>
    <xdr:to>
      <xdr:col>16</xdr:col>
      <xdr:colOff>146971</xdr:colOff>
      <xdr:row>16</xdr:row>
      <xdr:rowOff>168088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FDA737-06AB-9A64-A719-77E71A4F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222438</xdr:colOff>
      <xdr:row>17</xdr:row>
      <xdr:rowOff>54626</xdr:rowOff>
    </xdr:from>
    <xdr:to>
      <xdr:col>16</xdr:col>
      <xdr:colOff>156655</xdr:colOff>
      <xdr:row>32</xdr:row>
      <xdr:rowOff>2239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3F66A1-329D-D1FA-97BE-177057D59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68354</xdr:rowOff>
    </xdr:from>
    <xdr:to>
      <xdr:col>16</xdr:col>
      <xdr:colOff>156882</xdr:colOff>
      <xdr:row>47</xdr:row>
      <xdr:rowOff>123263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18CB5B4-3A58-ADBA-7366-CF446A789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212912</xdr:colOff>
      <xdr:row>3</xdr:row>
      <xdr:rowOff>0</xdr:rowOff>
    </xdr:from>
    <xdr:to>
      <xdr:col>27</xdr:col>
      <xdr:colOff>257735</xdr:colOff>
      <xdr:row>16</xdr:row>
      <xdr:rowOff>168088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6B2896-2C64-4442-8F4F-DA620688E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235324</xdr:colOff>
      <xdr:row>17</xdr:row>
      <xdr:rowOff>56030</xdr:rowOff>
    </xdr:from>
    <xdr:to>
      <xdr:col>27</xdr:col>
      <xdr:colOff>280147</xdr:colOff>
      <xdr:row>32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706EA0-47DA-4D2F-95B3-62E7925B4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235323</xdr:colOff>
      <xdr:row>32</xdr:row>
      <xdr:rowOff>67234</xdr:rowOff>
    </xdr:from>
    <xdr:to>
      <xdr:col>27</xdr:col>
      <xdr:colOff>280146</xdr:colOff>
      <xdr:row>47</xdr:row>
      <xdr:rowOff>145675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787E802-F748-4A7C-9924-6065C4232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TERMINAL\Maio\13%20de%20maio.xlsx" TargetMode="External"/><Relationship Id="rId1" Type="http://schemas.openxmlformats.org/officeDocument/2006/relationships/externalLinkPath" Target="13%20de%20mai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r&#231;o/13%20de%20Mar&#231;o.xlsx" TargetMode="External"/><Relationship Id="rId2" Type="http://schemas.openxmlformats.org/officeDocument/2006/relationships/externalLinkPath" Target="file:///S:\TERMINAL\Mar&#231;o\13%20de%20Mar&#231;o.xlsx" TargetMode="External"/><Relationship Id="rId1" Type="http://schemas.openxmlformats.org/officeDocument/2006/relationships/externalLinkPath" Target="/TERMINAL/Mar&#231;o/13%20de%20Mar&#23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"/>
      <sheetName val="Gráfico2"/>
      <sheetName val="BD_LANÇAMENTOS"/>
      <sheetName val="PRODUTO"/>
      <sheetName val="META POR HORA"/>
      <sheetName val="Planilha1"/>
      <sheetName val="Gráfico1"/>
      <sheetName val="PROJETO"/>
      <sheetName val="13 de maio"/>
    </sheetNames>
    <sheetDataSet>
      <sheetData sheetId="0">
        <row r="1">
          <cell r="C1" t="str">
            <v>PRODUTOS</v>
          </cell>
          <cell r="D1" t="str">
            <v>PROD. HORA</v>
          </cell>
        </row>
        <row r="2">
          <cell r="C2" t="str">
            <v>GRAMPO 160 (CORTE)</v>
          </cell>
          <cell r="D2">
            <v>550</v>
          </cell>
        </row>
        <row r="3">
          <cell r="C3" t="str">
            <v>GRAMPO 160 (FORJA)</v>
          </cell>
          <cell r="D3">
            <v>180</v>
          </cell>
        </row>
        <row r="4">
          <cell r="C4" t="str">
            <v>GRAMPO 160 (REBARBA)</v>
          </cell>
          <cell r="D4">
            <v>284</v>
          </cell>
        </row>
        <row r="5">
          <cell r="C5" t="str">
            <v>GRAMPO 160 (USINAGEM)</v>
          </cell>
          <cell r="D5">
            <v>176</v>
          </cell>
        </row>
        <row r="6">
          <cell r="C6" t="str">
            <v>GRAMPO 160 (SOLDA)</v>
          </cell>
          <cell r="D6">
            <v>189</v>
          </cell>
        </row>
        <row r="7">
          <cell r="C7" t="str">
            <v>SPADE 160 (CORTE)</v>
          </cell>
          <cell r="D7">
            <v>340</v>
          </cell>
        </row>
        <row r="8">
          <cell r="C8" t="str">
            <v>SPADE 160 (FORJA)</v>
          </cell>
          <cell r="D8">
            <v>180</v>
          </cell>
        </row>
        <row r="9">
          <cell r="C9" t="str">
            <v>SPADE 160 (REBARBA)</v>
          </cell>
          <cell r="D9">
            <v>284</v>
          </cell>
        </row>
        <row r="10">
          <cell r="C10" t="str">
            <v>SPADE 160 (USINAGEM)</v>
          </cell>
          <cell r="D10">
            <v>112</v>
          </cell>
        </row>
        <row r="11">
          <cell r="C11" t="str">
            <v>SPADE 160 (SOLDA)</v>
          </cell>
          <cell r="D11">
            <v>171</v>
          </cell>
        </row>
        <row r="12">
          <cell r="C12" t="str">
            <v>GRAMPO 400 (CORTE)</v>
          </cell>
          <cell r="D12">
            <v>460</v>
          </cell>
        </row>
        <row r="13">
          <cell r="C13" t="str">
            <v>GRAMPO 400 (FORJA)</v>
          </cell>
          <cell r="D13">
            <v>180</v>
          </cell>
        </row>
        <row r="14">
          <cell r="C14" t="str">
            <v>GRAMPO 400 (REBARBA)</v>
          </cell>
          <cell r="D14"/>
        </row>
        <row r="15">
          <cell r="C15" t="str">
            <v>GRAMPO 400 (USINAGEM)</v>
          </cell>
          <cell r="D15">
            <v>144</v>
          </cell>
        </row>
        <row r="16">
          <cell r="C16" t="str">
            <v>GRAMPO 400 (SOLDA)</v>
          </cell>
          <cell r="D16">
            <v>133</v>
          </cell>
        </row>
        <row r="17">
          <cell r="C17" t="str">
            <v>SPADE 400 (CORTE)</v>
          </cell>
          <cell r="D17">
            <v>200</v>
          </cell>
        </row>
        <row r="18">
          <cell r="C18" t="str">
            <v>SPADE 400 (FORJA)</v>
          </cell>
          <cell r="D18">
            <v>180</v>
          </cell>
        </row>
        <row r="19">
          <cell r="C19" t="str">
            <v>SPADE 400 (REBARBA)</v>
          </cell>
          <cell r="D19"/>
        </row>
        <row r="20">
          <cell r="C20" t="str">
            <v>SPADE 400 (USINAGEM)</v>
          </cell>
          <cell r="D20">
            <v>88</v>
          </cell>
        </row>
        <row r="21">
          <cell r="C21" t="str">
            <v>SPADE 400 (SOLDA)</v>
          </cell>
          <cell r="D21">
            <v>100</v>
          </cell>
        </row>
        <row r="22">
          <cell r="C22" t="str">
            <v>SPADE 800 (CORTE)</v>
          </cell>
          <cell r="D22"/>
        </row>
        <row r="23">
          <cell r="C23" t="str">
            <v>SPADE 800 (FORJA)</v>
          </cell>
          <cell r="D23">
            <v>60</v>
          </cell>
        </row>
        <row r="24">
          <cell r="C24" t="str">
            <v>SPADE 800 (REBARBA)</v>
          </cell>
          <cell r="D24">
            <v>60</v>
          </cell>
        </row>
        <row r="25">
          <cell r="C25" t="str">
            <v>SPADE 800 (USINAGEM)</v>
          </cell>
          <cell r="D25">
            <v>32</v>
          </cell>
        </row>
        <row r="26">
          <cell r="C26" t="str">
            <v>SPADE 800 (SOLDA)</v>
          </cell>
          <cell r="D26">
            <v>39</v>
          </cell>
        </row>
        <row r="27">
          <cell r="C27" t="str">
            <v>HASTE 160 (CORTE)</v>
          </cell>
          <cell r="D27">
            <v>39</v>
          </cell>
        </row>
        <row r="28">
          <cell r="C28" t="str">
            <v>HASTE 160 (LAMINAÇÃO)</v>
          </cell>
          <cell r="D28">
            <v>1000</v>
          </cell>
        </row>
        <row r="29">
          <cell r="C29" t="str">
            <v>HASTE 400 (CORTE)</v>
          </cell>
          <cell r="D29"/>
        </row>
        <row r="30">
          <cell r="C30" t="str">
            <v>HASTE 400 (LAMINAÇÃO)</v>
          </cell>
          <cell r="D30">
            <v>800</v>
          </cell>
        </row>
        <row r="31">
          <cell r="C31" t="str">
            <v>HASTE 800 (CORTE)</v>
          </cell>
          <cell r="D31">
            <v>32</v>
          </cell>
        </row>
        <row r="32">
          <cell r="C32" t="str">
            <v>HASTE 800 (LAMINAÇÃO)</v>
          </cell>
          <cell r="D32">
            <v>39</v>
          </cell>
        </row>
        <row r="33">
          <cell r="C33" t="str">
            <v>PRESILHA L (CORTE)</v>
          </cell>
          <cell r="D33">
            <v>800</v>
          </cell>
        </row>
        <row r="34">
          <cell r="C34" t="str">
            <v>PRESILHA INFERIOR (CORTE)</v>
          </cell>
          <cell r="D34">
            <v>1160</v>
          </cell>
        </row>
        <row r="35">
          <cell r="C35" t="str">
            <v>P. CABO AT (CORTE)</v>
          </cell>
          <cell r="D35"/>
        </row>
        <row r="36">
          <cell r="C36" t="str">
            <v>P. CABO AT (REBAIXO)</v>
          </cell>
          <cell r="D36">
            <v>350</v>
          </cell>
        </row>
        <row r="37">
          <cell r="C37" t="str">
            <v>P. CABO AT (FORJA)</v>
          </cell>
          <cell r="D37">
            <v>180</v>
          </cell>
        </row>
        <row r="38">
          <cell r="C38" t="str">
            <v>P. CABO AT (REBARBA)</v>
          </cell>
          <cell r="D38"/>
        </row>
        <row r="39">
          <cell r="C39" t="str">
            <v>P. CABO AT (FURO)</v>
          </cell>
          <cell r="D39">
            <v>270</v>
          </cell>
        </row>
        <row r="40">
          <cell r="C40" t="str">
            <v>P. CABO AT (LAMINAÇÃO)</v>
          </cell>
          <cell r="D40">
            <v>900</v>
          </cell>
        </row>
        <row r="41">
          <cell r="C41" t="str">
            <v>P. CABO BT 160 (CORTE)</v>
          </cell>
          <cell r="D41">
            <v>700</v>
          </cell>
        </row>
        <row r="42">
          <cell r="C42" t="str">
            <v>P. CABO BT 160 (REBAIXO)</v>
          </cell>
          <cell r="D42">
            <v>222</v>
          </cell>
        </row>
        <row r="43">
          <cell r="C43" t="str">
            <v>P. CABO BT 160 (FORJA)</v>
          </cell>
          <cell r="D43">
            <v>180</v>
          </cell>
        </row>
        <row r="44">
          <cell r="C44" t="str">
            <v>P. CABO BT 160 (REBARBA)</v>
          </cell>
          <cell r="D44">
            <v>180</v>
          </cell>
        </row>
        <row r="45">
          <cell r="C45" t="str">
            <v>P. CABO BT 160 (FURO)</v>
          </cell>
          <cell r="D45">
            <v>270</v>
          </cell>
        </row>
        <row r="46">
          <cell r="C46" t="str">
            <v>P. CABO BT 160 (LAMINAÇÃO)</v>
          </cell>
          <cell r="D46">
            <v>900</v>
          </cell>
        </row>
        <row r="47">
          <cell r="C47" t="str">
            <v>P. CABO BT 400 (CORTE)</v>
          </cell>
          <cell r="D47"/>
        </row>
        <row r="48">
          <cell r="C48" t="str">
            <v>P. CABO BT 400 (REBAIXO)</v>
          </cell>
          <cell r="D48">
            <v>140</v>
          </cell>
        </row>
        <row r="49">
          <cell r="C49" t="str">
            <v>P. CABO BT 400 (FORJA)</v>
          </cell>
          <cell r="D49">
            <v>180</v>
          </cell>
        </row>
        <row r="50">
          <cell r="C50" t="str">
            <v>P. CABO BT 400 (REBARBA)</v>
          </cell>
          <cell r="D50">
            <v>180</v>
          </cell>
        </row>
        <row r="51">
          <cell r="C51" t="str">
            <v>P. CABO BT 400 (FURO)</v>
          </cell>
          <cell r="D51">
            <v>180</v>
          </cell>
        </row>
        <row r="52">
          <cell r="C52" t="str">
            <v>P. CABO BT 400 (LAMINAÇÃO)</v>
          </cell>
          <cell r="D52"/>
        </row>
        <row r="53">
          <cell r="C53" t="str">
            <v>TERMINAL AT (CORTE)</v>
          </cell>
          <cell r="D53">
            <v>640</v>
          </cell>
        </row>
        <row r="54">
          <cell r="C54" t="str">
            <v>TERMINAL AT (FORJA)</v>
          </cell>
          <cell r="D54">
            <v>144</v>
          </cell>
        </row>
        <row r="55">
          <cell r="C55" t="str">
            <v>TERMINAL AT (REBARBA)</v>
          </cell>
          <cell r="D55"/>
        </row>
        <row r="56">
          <cell r="C56" t="str">
            <v>TERMINAL AT (USINAGEM)</v>
          </cell>
          <cell r="D56">
            <v>120</v>
          </cell>
        </row>
        <row r="57">
          <cell r="C57" t="str">
            <v>PINO CONDUTOR (CORTE)</v>
          </cell>
          <cell r="D57">
            <v>520</v>
          </cell>
        </row>
        <row r="58">
          <cell r="C58" t="str">
            <v>PINO CONDUTOR (REBAIXO)</v>
          </cell>
          <cell r="D58"/>
        </row>
        <row r="59">
          <cell r="C59" t="str">
            <v>PINO CONDUTOR (FORJA)</v>
          </cell>
          <cell r="D59"/>
        </row>
        <row r="60">
          <cell r="C60" t="str">
            <v>PINO CONDUTOR (REBARBA)</v>
          </cell>
          <cell r="D60">
            <v>144</v>
          </cell>
        </row>
        <row r="61">
          <cell r="C61" t="str">
            <v>PINO CONDUTOR (LAMINAÇÃO)</v>
          </cell>
          <cell r="D61">
            <v>227</v>
          </cell>
        </row>
        <row r="62">
          <cell r="C62" t="str">
            <v>PRESILHA L</v>
          </cell>
          <cell r="D62">
            <v>1000</v>
          </cell>
        </row>
        <row r="63">
          <cell r="C63" t="str">
            <v>PRESILHA INFERIOR</v>
          </cell>
          <cell r="D63">
            <v>570</v>
          </cell>
        </row>
        <row r="64">
          <cell r="C64" t="str">
            <v>FLANGE</v>
          </cell>
        </row>
        <row r="65">
          <cell r="C65" t="str">
            <v>SECAR CAVACO</v>
          </cell>
        </row>
        <row r="66">
          <cell r="C66" t="str">
            <v>TREINAMENTO</v>
          </cell>
        </row>
        <row r="67">
          <cell r="C67" t="str">
            <v>RETRABALHO</v>
          </cell>
        </row>
        <row r="68">
          <cell r="C68" t="str">
            <v>-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PRODUTO"/>
      <sheetName val="Gráfico1"/>
      <sheetName val="META POR HORA"/>
      <sheetName val="Planilha1"/>
      <sheetName val="BD_LANÇAMENTOS"/>
      <sheetName val="PROJETO"/>
    </sheetNames>
    <sheetDataSet>
      <sheetData sheetId="0">
        <row r="1">
          <cell r="C1" t="str">
            <v>PRODUTOS</v>
          </cell>
          <cell r="D1" t="str">
            <v>PESO</v>
          </cell>
        </row>
        <row r="2">
          <cell r="C2" t="str">
            <v>GRAMPO 160 (CORTE)</v>
          </cell>
          <cell r="D2">
            <v>0.26900000000000002</v>
          </cell>
        </row>
        <row r="3">
          <cell r="C3" t="str">
            <v>GRAMPO 160 (FORJA)</v>
          </cell>
          <cell r="D3">
            <v>0.26900000000000002</v>
          </cell>
        </row>
        <row r="4">
          <cell r="C4" t="str">
            <v>GRAMPO 160 (REBARBA)</v>
          </cell>
          <cell r="D4">
            <v>0.21199999999999999</v>
          </cell>
        </row>
        <row r="5">
          <cell r="C5" t="str">
            <v>GRAMPO 160 (USINAGEM)</v>
          </cell>
          <cell r="D5">
            <v>0.16500000000000001</v>
          </cell>
        </row>
        <row r="6">
          <cell r="C6" t="str">
            <v>GRAMPO 160 (SOLDA)</v>
          </cell>
          <cell r="D6">
            <v>0.245</v>
          </cell>
        </row>
        <row r="7">
          <cell r="C7" t="str">
            <v>SPADE 160 (CORTE)</v>
          </cell>
          <cell r="D7">
            <v>0.32300000000000001</v>
          </cell>
        </row>
        <row r="8">
          <cell r="C8" t="str">
            <v>SPADE 160 (FORJA)</v>
          </cell>
          <cell r="D8">
            <v>0.32300000000000001</v>
          </cell>
        </row>
        <row r="9">
          <cell r="C9" t="str">
            <v>SPADE 160 (REBARBA)</v>
          </cell>
          <cell r="D9">
            <v>0.255</v>
          </cell>
        </row>
        <row r="10">
          <cell r="C10" t="str">
            <v>SPADE 160 (USINAGEM)</v>
          </cell>
          <cell r="D10">
            <v>0.20300000000000001</v>
          </cell>
        </row>
        <row r="11">
          <cell r="C11" t="str">
            <v>SPADE 160 (SOLDA)</v>
          </cell>
          <cell r="D11">
            <v>0.28699999999999998</v>
          </cell>
        </row>
        <row r="12">
          <cell r="C12" t="str">
            <v>GRAMPO 400 (CORTE)</v>
          </cell>
          <cell r="D12">
            <v>0.6</v>
          </cell>
        </row>
        <row r="13">
          <cell r="C13" t="str">
            <v>GRAMPO 400 (FORJA)</v>
          </cell>
          <cell r="D13">
            <v>0.6</v>
          </cell>
        </row>
        <row r="14">
          <cell r="C14" t="str">
            <v>GRAMPO 400 (REBARBA)</v>
          </cell>
          <cell r="D14">
            <v>0.47399999999999998</v>
          </cell>
        </row>
        <row r="15">
          <cell r="C15" t="str">
            <v>GRAMPO 400 (USINAGEM)</v>
          </cell>
          <cell r="D15">
            <v>0.35199999999999998</v>
          </cell>
        </row>
        <row r="16">
          <cell r="C16" t="str">
            <v>GRAMPO 400 (SOLDA)</v>
          </cell>
          <cell r="D16">
            <v>0.61699999999999999</v>
          </cell>
        </row>
        <row r="17">
          <cell r="C17" t="str">
            <v>SPADE 400 (CORTE)</v>
          </cell>
          <cell r="D17">
            <v>0.80400000000000005</v>
          </cell>
        </row>
        <row r="18">
          <cell r="C18" t="str">
            <v>SPADE 400 (FORJA)</v>
          </cell>
          <cell r="D18">
            <v>0.80400000000000005</v>
          </cell>
        </row>
        <row r="19">
          <cell r="C19" t="str">
            <v>SPADE 400 (REBARBA)</v>
          </cell>
          <cell r="D19">
            <v>0.7</v>
          </cell>
        </row>
        <row r="20">
          <cell r="C20" t="str">
            <v>SPADE 400 (USINAGEM)</v>
          </cell>
          <cell r="D20">
            <v>0.59899999999999998</v>
          </cell>
        </row>
        <row r="21">
          <cell r="C21" t="str">
            <v>SPADE 400 (SOLDA)</v>
          </cell>
          <cell r="D21">
            <v>0.85399999999999998</v>
          </cell>
        </row>
        <row r="22">
          <cell r="C22" t="str">
            <v>SPADE 800 (CORTE)</v>
          </cell>
          <cell r="D22">
            <v>2.2650000000000001</v>
          </cell>
        </row>
        <row r="23">
          <cell r="C23" t="str">
            <v>SPADE 800 (FORJA)</v>
          </cell>
          <cell r="D23">
            <v>2.2650000000000001</v>
          </cell>
        </row>
        <row r="24">
          <cell r="C24" t="str">
            <v>SPADE 800 (REBARBA)</v>
          </cell>
          <cell r="D24">
            <v>1.9410000000000001</v>
          </cell>
        </row>
        <row r="25">
          <cell r="C25" t="str">
            <v>SPADE 800 (USINAGEM)</v>
          </cell>
          <cell r="D25">
            <v>1.6140000000000001</v>
          </cell>
        </row>
        <row r="26">
          <cell r="C26" t="str">
            <v>SPADE 800 (SOLDA)</v>
          </cell>
          <cell r="D26">
            <v>2.4249999999999998</v>
          </cell>
        </row>
        <row r="27">
          <cell r="C27" t="str">
            <v>HASTE 160 (CORTE)</v>
          </cell>
          <cell r="D27">
            <v>7.5999999999999998E-2</v>
          </cell>
        </row>
        <row r="28">
          <cell r="C28" t="str">
            <v>HASTE 160 (LAMINAÇÃO)</v>
          </cell>
          <cell r="D28">
            <v>7.5999999999999998E-2</v>
          </cell>
        </row>
        <row r="29">
          <cell r="C29" t="str">
            <v>HASTE 400 (CORTE)</v>
          </cell>
          <cell r="D29">
            <v>0.25900000000000001</v>
          </cell>
        </row>
        <row r="30">
          <cell r="C30" t="str">
            <v>HASTE 400 (LAMINAÇÃO)</v>
          </cell>
          <cell r="D30">
            <v>0.25900000000000001</v>
          </cell>
        </row>
        <row r="31">
          <cell r="C31" t="str">
            <v>HASTE 800 (CORTE)</v>
          </cell>
          <cell r="D31">
            <v>0.8</v>
          </cell>
        </row>
        <row r="32">
          <cell r="C32" t="str">
            <v>HASTE 800 (LAMINAÇÃO)</v>
          </cell>
          <cell r="D32">
            <v>0.8</v>
          </cell>
        </row>
        <row r="33">
          <cell r="C33" t="str">
            <v>PRESILHA L (CORTE)</v>
          </cell>
          <cell r="D33"/>
        </row>
        <row r="34">
          <cell r="C34" t="str">
            <v>PRESILHA INFERIOR (CORTE)</v>
          </cell>
          <cell r="D34"/>
        </row>
        <row r="35">
          <cell r="C35" t="str">
            <v>P. CABO AT (CORTE)</v>
          </cell>
          <cell r="D35">
            <v>0.14099999999999999</v>
          </cell>
        </row>
        <row r="36">
          <cell r="C36" t="str">
            <v>P. CABO AT (REBAIXO)</v>
          </cell>
          <cell r="D36">
            <v>0.109</v>
          </cell>
        </row>
        <row r="37">
          <cell r="C37" t="str">
            <v>P. CABO AT (FORJA)</v>
          </cell>
          <cell r="D37">
            <v>0.109</v>
          </cell>
        </row>
        <row r="38">
          <cell r="C38" t="str">
            <v>P. CABO AT (REBARBA)</v>
          </cell>
          <cell r="D38">
            <v>9.8000000000000004E-2</v>
          </cell>
        </row>
        <row r="39">
          <cell r="C39" t="str">
            <v>P. CABO AT (FURO)</v>
          </cell>
          <cell r="D39">
            <v>8.3000000000000004E-2</v>
          </cell>
        </row>
        <row r="40">
          <cell r="C40" t="str">
            <v>P. CABO AT (LAMINAÇÃO)</v>
          </cell>
          <cell r="D40">
            <v>8.3000000000000004E-2</v>
          </cell>
        </row>
        <row r="41">
          <cell r="C41" t="str">
            <v>P. CABO BT 160 (CORTE)</v>
          </cell>
          <cell r="D41">
            <v>0.25800000000000001</v>
          </cell>
        </row>
        <row r="42">
          <cell r="C42" t="str">
            <v>P. CABO BT 160 (REBAIXO)</v>
          </cell>
          <cell r="D42">
            <v>0.13500000000000001</v>
          </cell>
        </row>
        <row r="43">
          <cell r="C43" t="str">
            <v>P. CABO BT 160 (FORJA)</v>
          </cell>
          <cell r="D43">
            <v>0.13500000000000001</v>
          </cell>
        </row>
        <row r="44">
          <cell r="C44" t="str">
            <v>P. CABO BT 160 (REBARBA)</v>
          </cell>
          <cell r="D44">
            <v>0.123</v>
          </cell>
        </row>
        <row r="45">
          <cell r="C45" t="str">
            <v>P. CABO BT 160 (FURO)</v>
          </cell>
          <cell r="D45">
            <v>9.2999999999999999E-2</v>
          </cell>
        </row>
        <row r="46">
          <cell r="C46" t="str">
            <v>P. CABO BT 160 (LAMINAÇÃO)</v>
          </cell>
          <cell r="D46">
            <v>9.2999999999999999E-2</v>
          </cell>
        </row>
        <row r="47">
          <cell r="C47" t="str">
            <v>P. CABO BT 400 (CORTE)</v>
          </cell>
          <cell r="D47">
            <v>0.47</v>
          </cell>
        </row>
        <row r="48">
          <cell r="C48" t="str">
            <v>P. CABO BT 400 (REBAIXO)</v>
          </cell>
          <cell r="D48">
            <v>0.32700000000000001</v>
          </cell>
        </row>
        <row r="49">
          <cell r="C49" t="str">
            <v>P. CABO BT 400 (FORJA)</v>
          </cell>
          <cell r="D49">
            <v>0.32700000000000001</v>
          </cell>
        </row>
        <row r="50">
          <cell r="C50" t="str">
            <v>P. CABO BT 400 (REBARBA)</v>
          </cell>
          <cell r="D50">
            <v>0.315</v>
          </cell>
        </row>
        <row r="51">
          <cell r="C51" t="str">
            <v>P. CABO BT 400 (FURO)</v>
          </cell>
          <cell r="D51">
            <v>0.216</v>
          </cell>
        </row>
        <row r="52">
          <cell r="C52" t="str">
            <v>P. CABO BT 400 (LAMINAÇÃO)</v>
          </cell>
          <cell r="D52">
            <v>0.216</v>
          </cell>
        </row>
        <row r="53">
          <cell r="C53" t="str">
            <v>TERMINAL AT (CORTE)</v>
          </cell>
          <cell r="D53">
            <v>0.41199999999999998</v>
          </cell>
        </row>
        <row r="54">
          <cell r="C54" t="str">
            <v>TERMINAL AT (FORJA)</v>
          </cell>
          <cell r="D54">
            <v>0.41199999999999998</v>
          </cell>
        </row>
        <row r="55">
          <cell r="C55" t="str">
            <v>TERMINAL AT (REBARBA)</v>
          </cell>
          <cell r="D55">
            <v>0.372</v>
          </cell>
        </row>
        <row r="56">
          <cell r="C56" t="str">
            <v>TERMINAL AT (USINAGEM)</v>
          </cell>
          <cell r="D56">
            <v>0.28599999999999998</v>
          </cell>
        </row>
        <row r="57">
          <cell r="C57" t="str">
            <v>PINO CONDUTOR (CORTE)</v>
          </cell>
          <cell r="D57">
            <v>0.12</v>
          </cell>
        </row>
        <row r="58">
          <cell r="C58" t="str">
            <v>PINO CONDUTOR (REBAIXO)</v>
          </cell>
          <cell r="D58">
            <v>8.2000000000000003E-2</v>
          </cell>
        </row>
        <row r="59">
          <cell r="C59" t="str">
            <v>PINO CONDUTOR (FORJA)</v>
          </cell>
          <cell r="D59">
            <v>8.2000000000000003E-2</v>
          </cell>
        </row>
        <row r="60">
          <cell r="C60" t="str">
            <v>PINO CONDUTOR (REBARBA)</v>
          </cell>
          <cell r="D60">
            <v>6.3E-2</v>
          </cell>
        </row>
        <row r="61">
          <cell r="C61" t="str">
            <v>PINO CONDUTOR (LAMINAÇÃO)</v>
          </cell>
          <cell r="D61">
            <v>6.3E-2</v>
          </cell>
        </row>
        <row r="62">
          <cell r="C62" t="str">
            <v>PRESILHA L</v>
          </cell>
          <cell r="D62"/>
        </row>
        <row r="63">
          <cell r="C63" t="str">
            <v>PRESILHA INFERIOR</v>
          </cell>
          <cell r="D63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 Ribeiro" refreshedDate="46078.693959606484" createdVersion="8" refreshedVersion="8" minRefreshableVersion="3" recordCount="7" xr:uid="{20AE589A-08D7-4788-B8C3-85F875043D3A}">
  <cacheSource type="worksheet">
    <worksheetSource name="Tabela5"/>
  </cacheSource>
  <cacheFields count="16">
    <cacheField name="MAQUINA" numFmtId="0">
      <sharedItems containsBlank="1" count="12">
        <s v="FORJA 1"/>
        <s v="FORJA 4"/>
        <s v="SOLDA 1"/>
        <s v="SOLDA 2"/>
        <s v="CNC 2"/>
        <s v="CNC 4"/>
        <s v="CNC 3"/>
        <s v="FORJA 2" u="1"/>
        <s v="FORJA 3" u="1"/>
        <s v="CNC 1" u="1"/>
        <s v="CNC 5" u="1"/>
        <m u="1"/>
      </sharedItems>
    </cacheField>
    <cacheField name="PRODUTO" numFmtId="0">
      <sharedItems containsBlank="1" count="19">
        <s v="P. CABO AT (FORJA)"/>
        <s v="GRAMPO 160 (FORJA)"/>
        <s v="GRAMPO 400 (SOLDA)"/>
        <s v="SPADE 160 (USINAGEM)"/>
        <s v="TERMINAL AT (USINAGEM)"/>
        <s v="P. CABO AT (REBAIXO)"/>
        <s v="P. CABO BT 160 (FORJA)" u="1"/>
        <s v="GRAMPO 400 (FORJA)" u="1"/>
        <m u="1"/>
        <s v="GRAMPO 160 (SOLDA)" u="1"/>
        <s v="P. CABO BT 160 (REBAIXO)" u="1"/>
        <s v="GRAMPO 160 (USINAGEM)" u="1"/>
        <s v="P. CABO BT 400 (FURO)" u="1"/>
        <s v="TERMINAL AT (FORJA)" u="1"/>
        <s v="P. CABO BT 400 (REBAIXO)" u="1"/>
        <s v="SPADE 400 (SOLDA)" u="1"/>
        <s v="SPADE 400 (USINAGEM)" u="1"/>
        <s v="SPADE 160 (SOLDA)" u="1"/>
        <s v="P. CABO AT (FURO)" u="1"/>
      </sharedItems>
    </cacheField>
    <cacheField name="OPERADOR" numFmtId="164">
      <sharedItems containsBlank="1" count="14">
        <s v="REGINALDO"/>
        <s v="JOÃO BATISTA"/>
        <s v="EDMAR"/>
        <s v="VALMIR"/>
        <s v="VINICIUS"/>
        <s v="SANDRO"/>
        <s v="JOÃO EDUARDO"/>
        <m u="1"/>
        <s v="AGNALDO" u="1"/>
        <s v="JOSE MARIO" u="1"/>
        <s v="PATRICIA" u="1"/>
        <s v="RAFAEL" u="1"/>
        <s v="JOAO PAULO" u="1"/>
        <s v="JOAO BATISTA" u="1"/>
      </sharedItems>
    </cacheField>
    <cacheField name="QTD PRODUZIDA" numFmtId="0">
      <sharedItems containsSemiMixedTypes="0" containsString="0" containsNumber="1" containsInteger="1" minValue="840" maxValue="1456"/>
    </cacheField>
    <cacheField name="HORA_x000a_INÍCIO" numFmtId="169">
      <sharedItems containsSemiMixedTypes="0" containsNonDate="0" containsDate="1" containsString="0" minDate="2026-02-24T21:00:00" maxDate="2026-02-24T21:00:00"/>
    </cacheField>
    <cacheField name="HORA_x000a_FIM" numFmtId="169">
      <sharedItems containsSemiMixedTypes="0" containsNonDate="0" containsDate="1" containsString="0" minDate="2026-02-25T06:00:00" maxDate="2026-02-25T06:00:00"/>
    </cacheField>
    <cacheField name="HORAS PARADAS" numFmtId="166">
      <sharedItems containsSemiMixedTypes="0" containsNonDate="0" containsDate="1" containsString="0" minDate="1899-12-30T01:42:00" maxDate="1899-12-30T03:11:00"/>
    </cacheField>
    <cacheField name="HORAS TRABALHADAS" numFmtId="168">
      <sharedItems containsSemiMixedTypes="0" containsNonDate="0" containsDate="1" containsString="0" minDate="1899-12-30T05:49:00" maxDate="1899-12-30T07:18:00"/>
    </cacheField>
    <cacheField name="CAP. PRODUÇÃO" numFmtId="1">
      <sharedItems containsSemiMixedTypes="0" containsString="0" containsNumber="1" minValue="745.99999999999989" maxValue="1337.8333333333333"/>
    </cacheField>
    <cacheField name="PRODUT. %" numFmtId="167">
      <sharedItems containsSemiMixedTypes="0" containsString="0" containsNumber="1" minValue="0.83792201320543169" maxValue="1.4316353887399467"/>
    </cacheField>
    <cacheField name="TOTAL HORA" numFmtId="168">
      <sharedItems containsSemiMixedTypes="0" containsNonDate="0" containsDate="1" containsString="0" minDate="1900-12-14T00:00:00" maxDate="1901-03-14T00:00:00"/>
    </cacheField>
    <cacheField name="HORA/DIA" numFmtId="2">
      <sharedItems containsSemiMixedTypes="0" containsString="0" containsNumber="1" minValue="5.8166666666666664" maxValue="7.3000000000000007"/>
    </cacheField>
    <cacheField name="MÊS" numFmtId="0">
      <sharedItems/>
    </cacheField>
    <cacheField name="DATA" numFmtId="14">
      <sharedItems containsSemiMixedTypes="0" containsNonDate="0" containsDate="1" containsString="0" minDate="2026-02-24T00:00:00" maxDate="2026-02-25T00:00:00"/>
    </cacheField>
    <cacheField name="OPERAÇÃO" numFmtId="0">
      <sharedItems/>
    </cacheField>
    <cacheField name=" MOTIVO PAR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1400"/>
    <d v="2026-02-24T21:00:00"/>
    <d v="2026-02-25T06:00:00"/>
    <d v="1899-12-30T01:42:00"/>
    <d v="1899-12-30T07:18:00"/>
    <n v="1314.0000000000002"/>
    <n v="1.0654490106544898"/>
    <d v="1901-03-13T00:00:00"/>
    <n v="7.3000000000000007"/>
    <s v="fevereiro"/>
    <d v="2026-02-24T00:00:00"/>
    <s v="FORJA"/>
    <m/>
  </r>
  <r>
    <x v="1"/>
    <x v="1"/>
    <x v="1"/>
    <n v="1456"/>
    <d v="2026-02-24T21:00:00"/>
    <d v="2026-02-25T06:00:00"/>
    <d v="1899-12-30T01:47:00"/>
    <d v="1899-12-30T07:13:00"/>
    <n v="1299"/>
    <n v="1.1208622016936105"/>
    <d v="1901-03-08T00:00:00"/>
    <n v="7.2166666666666668"/>
    <s v="fevereiro"/>
    <d v="2026-02-24T00:00:00"/>
    <s v="FORJA"/>
    <m/>
  </r>
  <r>
    <x v="2"/>
    <x v="2"/>
    <x v="2"/>
    <n v="1005"/>
    <d v="2026-02-24T21:00:00"/>
    <d v="2026-02-25T06:00:00"/>
    <d v="1899-12-30T02:07:00"/>
    <d v="1899-12-30T06:53:00"/>
    <n v="915.48333333333335"/>
    <n v="1.0977807715414445"/>
    <d v="1901-02-16T00:00:00"/>
    <n v="6.8833333333333337"/>
    <s v="fevereiro"/>
    <d v="2026-02-24T00:00:00"/>
    <s v="SOLDA"/>
    <m/>
  </r>
  <r>
    <x v="3"/>
    <x v="2"/>
    <x v="3"/>
    <n v="930"/>
    <d v="2026-02-24T21:00:00"/>
    <d v="2026-02-25T06:00:00"/>
    <d v="1899-12-30T02:23:00"/>
    <d v="1899-12-30T06:37:00"/>
    <n v="880.01666666666665"/>
    <n v="1.0567981667013882"/>
    <d v="1901-01-31T00:00:00"/>
    <n v="6.6166666666666663"/>
    <s v="fevereiro"/>
    <d v="2026-02-24T00:00:00"/>
    <s v="SOLDA"/>
    <m/>
  </r>
  <r>
    <x v="4"/>
    <x v="3"/>
    <x v="4"/>
    <n v="840"/>
    <d v="2026-02-24T21:00:00"/>
    <d v="2026-02-25T06:00:00"/>
    <d v="1899-12-30T02:03:00"/>
    <d v="1899-12-30T06:57:00"/>
    <n v="778.39999999999986"/>
    <n v="1.0791366906474822"/>
    <d v="1901-02-20T00:00:00"/>
    <n v="6.9499999999999993"/>
    <s v="fevereiro"/>
    <d v="2026-02-24T00:00:00"/>
    <s v="CNC"/>
    <m/>
  </r>
  <r>
    <x v="5"/>
    <x v="4"/>
    <x v="5"/>
    <n v="1068"/>
    <d v="2026-02-24T21:00:00"/>
    <d v="2026-02-25T06:00:00"/>
    <d v="1899-12-30T02:47:00"/>
    <d v="1899-12-30T06:13:00"/>
    <n v="745.99999999999989"/>
    <n v="1.4316353887399467"/>
    <d v="1901-01-07T00:00:00"/>
    <n v="6.2166666666666659"/>
    <s v="fevereiro"/>
    <d v="2026-02-24T00:00:00"/>
    <s v="CNC"/>
    <m/>
  </r>
  <r>
    <x v="6"/>
    <x v="5"/>
    <x v="6"/>
    <n v="1121"/>
    <d v="2026-02-24T21:00:00"/>
    <d v="2026-02-25T06:00:00"/>
    <d v="1899-12-30T03:11:00"/>
    <d v="1899-12-30T05:49:00"/>
    <n v="1337.8333333333333"/>
    <n v="0.83792201320543169"/>
    <d v="1900-12-14T00:00:00"/>
    <n v="5.8166666666666664"/>
    <s v="fevereiro"/>
    <d v="2026-02-24T00:00:00"/>
    <s v="CNC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435F4-BDF6-4895-B220-C6CDF530DA5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3" firstHeaderRow="1" firstDataRow="1" firstDataCol="1"/>
  <pivotFields count="16">
    <pivotField axis="axisRow" showAll="0">
      <items count="13">
        <item m="1" x="9"/>
        <item x="0"/>
        <item sd="0" m="1" x="7"/>
        <item sd="0" x="2"/>
        <item m="1" x="11"/>
        <item m="1" x="8"/>
        <item x="1"/>
        <item x="6"/>
        <item x="4"/>
        <item x="5"/>
        <item x="3"/>
        <item m="1" x="10"/>
        <item t="default"/>
      </items>
    </pivotField>
    <pivotField axis="axisRow" showAll="0">
      <items count="20">
        <item m="1" x="9"/>
        <item x="0"/>
        <item m="1" x="18"/>
        <item m="1" x="13"/>
        <item m="1" x="8"/>
        <item m="1" x="7"/>
        <item x="2"/>
        <item m="1" x="17"/>
        <item m="1" x="11"/>
        <item m="1" x="6"/>
        <item m="1" x="16"/>
        <item m="1" x="14"/>
        <item x="4"/>
        <item m="1" x="15"/>
        <item m="1" x="10"/>
        <item m="1" x="12"/>
        <item x="1"/>
        <item x="3"/>
        <item x="5"/>
        <item t="default"/>
      </items>
    </pivotField>
    <pivotField axis="axisRow" showAll="0">
      <items count="15">
        <item m="1" x="8"/>
        <item sd="0" x="2"/>
        <item sd="0" m="1" x="9"/>
        <item sd="0" m="1" x="10"/>
        <item sd="0" m="1" x="11"/>
        <item m="1" x="7"/>
        <item m="1" x="12"/>
        <item m="1" x="13"/>
        <item x="5"/>
        <item x="0"/>
        <item x="4"/>
        <item x="3"/>
        <item x="6"/>
        <item x="1"/>
        <item t="default"/>
      </items>
    </pivotField>
    <pivotField dataField="1" showAll="0"/>
    <pivotField showAll="0"/>
    <pivotField showAll="0"/>
    <pivotField showAll="0"/>
    <pivotField numFmtId="168" showAll="0"/>
    <pivotField numFmtId="1" showAll="0"/>
    <pivotField showAll="0"/>
    <pivotField showAll="0"/>
    <pivotField numFmtId="2" showAll="0"/>
    <pivotField showAll="0"/>
    <pivotField showAll="0"/>
    <pivotField showAll="0"/>
    <pivotField showAll="0"/>
  </pivotFields>
  <rowFields count="3">
    <field x="2"/>
    <field x="0"/>
    <field x="1"/>
  </rowFields>
  <rowItems count="20">
    <i>
      <x v="1"/>
    </i>
    <i>
      <x v="8"/>
    </i>
    <i r="1">
      <x v="9"/>
    </i>
    <i r="2">
      <x v="12"/>
    </i>
    <i>
      <x v="9"/>
    </i>
    <i r="1">
      <x v="1"/>
    </i>
    <i r="2">
      <x v="1"/>
    </i>
    <i>
      <x v="10"/>
    </i>
    <i r="1">
      <x v="8"/>
    </i>
    <i r="2">
      <x v="17"/>
    </i>
    <i>
      <x v="11"/>
    </i>
    <i r="1">
      <x v="10"/>
    </i>
    <i r="2">
      <x v="6"/>
    </i>
    <i>
      <x v="12"/>
    </i>
    <i r="1">
      <x v="7"/>
    </i>
    <i r="2">
      <x v="18"/>
    </i>
    <i>
      <x v="13"/>
    </i>
    <i r="1">
      <x v="6"/>
    </i>
    <i r="2">
      <x v="16"/>
    </i>
    <i t="grand">
      <x/>
    </i>
  </rowItems>
  <colItems count="1">
    <i/>
  </colItems>
  <dataFields count="1">
    <dataField name="Soma de QTD PRODUZID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4E8BD68-A360-4A3B-B7A2-881D78A259E6}" autoFormatId="16" applyNumberFormats="0" applyBorderFormats="0" applyFontFormats="0" applyPatternFormats="0" applyAlignmentFormats="0" applyWidthHeightFormats="0">
  <queryTableRefresh nextId="8">
    <queryTableFields count="5">
      <queryTableField id="1" name="CÓDIGO:" tableColumnId="1"/>
      <queryTableField id="2" name="DESCRIÇÃO:" tableColumnId="2"/>
      <queryTableField id="4" name="PESO:" tableColumnId="3"/>
      <queryTableField id="6" name="CONSUMO MP [KG]" tableColumnId="5"/>
      <queryTableField id="5" name="STATU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BAFE33-BACA-4CAA-B410-DCD7E6C4B02C}" name="Tabela5" displayName="Tabela5" ref="A2:U31" totalsRowShown="0" headerRowBorderDxfId="30">
  <autoFilter ref="A2:U31" xr:uid="{A3BAFE33-BACA-4CAA-B410-DCD7E6C4B02C}"/>
  <tableColumns count="21">
    <tableColumn id="2" xr3:uid="{6D519CB5-2FA8-4E52-928B-3EFEA69B2BBA}" name="MAQUINA" dataDxfId="29"/>
    <tableColumn id="3" xr3:uid="{1E64068B-EA20-4333-BB52-D93C1DE3CE84}" name="PRODUTO" dataDxfId="28"/>
    <tableColumn id="4" xr3:uid="{5FC36EF8-408E-4C33-ADC2-278FA4DEC7A0}" name="OPERADOR" dataDxfId="27"/>
    <tableColumn id="6" xr3:uid="{28AA62F6-FBBB-49FD-84FE-EEBE9567409D}" name="QTD PRODUZIDA" dataDxfId="26"/>
    <tableColumn id="7" xr3:uid="{0EC973E1-72E7-4367-B6D5-B9F2A7631582}" name="HORA_x000a_INÍCIO" dataDxfId="25"/>
    <tableColumn id="8" xr3:uid="{DB051134-DBE5-4CA8-91A4-7CE73D1DE414}" name="HORA_x000a_FIM" dataDxfId="24"/>
    <tableColumn id="9" xr3:uid="{528B9D97-DCDB-49FA-BD08-8A6E4B87E726}" name="HORAS PARADAS" dataDxfId="23"/>
    <tableColumn id="10" xr3:uid="{F9A83E2C-97EF-4525-A6BA-756B455986FA}" name="HORAS TRABALHADAS" dataDxfId="22">
      <calculatedColumnFormula>(F3-E3)-G3</calculatedColumnFormula>
    </tableColumn>
    <tableColumn id="11" xr3:uid="{B0C2FD9B-2D97-4258-87BF-764FCDD00247}" name="CAP. PRODUÇÃO _x000a_(Hrs trabalhadas)" dataDxfId="21">
      <calculatedColumnFormula>_xlfn.XLOOKUP(B3,[1]BD!C:C,[1]BD!D:D)*L3</calculatedColumnFormula>
    </tableColumn>
    <tableColumn id="12" xr3:uid="{1210600D-9531-418A-9622-CECFDE0F4DFE}" name="PRODUT. %" dataDxfId="20" dataCellStyle="Porcentagem">
      <calculatedColumnFormula>IFERROR(D3/I3,"")</calculatedColumnFormula>
    </tableColumn>
    <tableColumn id="13" xr3:uid="{930AE5DD-F3DB-4112-BF22-D4823D77A176}" name="TOTAL HORA" dataDxfId="19">
      <calculatedColumnFormula>H3*24*60</calculatedColumnFormula>
    </tableColumn>
    <tableColumn id="14" xr3:uid="{DA3B507E-8629-4E91-9287-E3A265BB0F52}" name="HORA/DIA" dataDxfId="18">
      <calculatedColumnFormula>K3/60</calculatedColumnFormula>
    </tableColumn>
    <tableColumn id="1" xr3:uid="{7F4D9B20-5F23-44F3-BEA4-00EFEE8DD9FE}" name="MÊS" dataDxfId="17">
      <calculatedColumnFormula>IF([1]!Tabela5[[#This Row],[MAQUINA]]="","",TEXT([1]!Tabela5[[#This Row],[HORA
INÍCIO]],"MMMM"))</calculatedColumnFormula>
    </tableColumn>
    <tableColumn id="5" xr3:uid="{F12CB778-0553-459F-AAF4-FACB44A80906}" name="DATA" dataDxfId="16">
      <calculatedColumnFormula>IF([1]!Tabela5[[#This Row],[MAQUINA]]="","",DATE(YEAR(E3),MONTH(E3),DAY(E3)))</calculatedColumnFormula>
    </tableColumn>
    <tableColumn id="15" xr3:uid="{B2BA2715-C896-4E55-B60A-5F4EC9AA94B4}" name="OPERAÇÃO" dataDxfId="15">
      <calculatedColumnFormula>IFERROR(LEFT([1]!Tabela5[[#This Row],[MAQUINA]],SEARCH(" ",[1]!Tabela5[[#This Row],[MAQUINA]],1)-1),"")</calculatedColumnFormula>
    </tableColumn>
    <tableColumn id="16" xr3:uid="{CD51FA15-D144-4BF7-BB96-A3E16EDC7A76}" name=" MOTIVO PARADA" dataDxfId="14"/>
    <tableColumn id="20" xr3:uid="{CDC961E5-EF79-448D-9D9E-9830E8DF53D7}" name="HORAS &quot;ÚTEIS&quot;" dataDxfId="13">
      <calculatedColumnFormula>R3*24*60</calculatedColumnFormula>
    </tableColumn>
    <tableColumn id="21" xr3:uid="{BE1BA90E-2BC6-4508-85C7-B662E4EAAF39}" name="HORAS NO DIA" dataDxfId="12"/>
    <tableColumn id="19" xr3:uid="{250ECC11-7EDC-4B15-884F-5532B7B31AE2}" name="HORA/DIA2" dataDxfId="11">
      <calculatedColumnFormula>Q3/60</calculatedColumnFormula>
    </tableColumn>
    <tableColumn id="18" xr3:uid="{E2A20C47-D592-403D-91E1-66E8C31A7844}" name="CAP. PRODUÇÃO_x000a_(Turno completo)" dataDxfId="10">
      <calculatedColumnFormula>_xlfn.XLOOKUP(B3,[1]BD!C:C,[1]BD!D:D)*S3</calculatedColumnFormula>
    </tableColumn>
    <tableColumn id="17" xr3:uid="{4159CC75-98E9-438C-9902-0412CE1E245E}" name="PRODUT. %2" dataDxfId="9">
      <calculatedColumnFormula>IFERROR(D3/T3,"")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C704F-5B8F-4A9E-937B-0B9A4753D187}" name="Tabela1_2" displayName="Tabela1_2" ref="A1:E1219" tableType="queryTable" totalsRowShown="0">
  <autoFilter ref="A1:E1219" xr:uid="{4EBC704F-5B8F-4A9E-937B-0B9A4753D187}">
    <filterColumn colId="0">
      <colorFilter dxfId="8"/>
    </filterColumn>
  </autoFilter>
  <tableColumns count="5">
    <tableColumn id="1" xr3:uid="{DE66FED8-E30D-41D0-9656-C51024BA0D94}" uniqueName="1" name="CÓDIGO:" queryTableFieldId="1" dataDxfId="7"/>
    <tableColumn id="2" xr3:uid="{71F779CC-DE6E-4015-BBA0-658D39893085}" uniqueName="2" name="DESCRIÇÃO:" queryTableFieldId="2" dataDxfId="6"/>
    <tableColumn id="3" xr3:uid="{81B1E7D1-B44E-466B-AB59-641CF2DD468D}" uniqueName="3" name="PESO:" queryTableFieldId="4"/>
    <tableColumn id="5" xr3:uid="{A98C4952-19D8-441C-8521-2DCDC803D88E}" uniqueName="5" name="CONSUMO MP [KG]" queryTableFieldId="6"/>
    <tableColumn id="4" xr3:uid="{2E096220-6E3C-4A9F-B942-49508DE0C725}" uniqueName="4" name="STATU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FCE4C-109C-4EF2-B1AC-FE57E99FF69C}" name="Tabela2" displayName="Tabela2" ref="A4:B10" totalsRowShown="0">
  <autoFilter ref="A4:B10" xr:uid="{E98FCE4C-109C-4EF2-B1AC-FE57E99FF69C}"/>
  <tableColumns count="2">
    <tableColumn id="1" xr3:uid="{69B8CD39-F62C-4BE5-BF7A-4B53F0B5583F}" name="FORJA"/>
    <tableColumn id="2" xr3:uid="{4C65047C-7EF8-4DBA-ADD5-777AAB0C6C04}" name="PRODUÇÃO" dataDxfId="5" dataCellStyle="Vírgula">
      <calculatedColumnFormula>SUMIFS(BD_LANÇAMENTOS!D:D,BD_LANÇAMENTOS!C:C,A5,BD_LANÇAMENTOS!N:N,PROJETO!$Y$2,BD_LANÇAMENTOS!O:O,$A$4)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C1553-8BDD-4869-B182-38437499F2BE}" name="Tabela3" displayName="Tabela3" ref="A22:B28" totalsRowShown="0">
  <autoFilter ref="A22:B28" xr:uid="{650C1553-8BDD-4869-B182-38437499F2BE}"/>
  <tableColumns count="2">
    <tableColumn id="1" xr3:uid="{AC42FCC9-FEF1-48FE-A845-9CC12534DFD7}" name="CNC"/>
    <tableColumn id="2" xr3:uid="{AB40F408-FC38-47DA-A6B1-61A58E9FB01C}" name="PRODUCAO" dataDxfId="4" dataCellStyle="Vírgula">
      <calculatedColumnFormula>SUMIFS(BD_LANÇAMENTOS!D:D,BD_LANÇAMENTOS!C:C,A23,BD_LANÇAMENTOS!N:N,PROJETO!$Y$2,BD_LANÇAMENTOS!O:O,$A$22)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D79C83-108E-4E0D-A2FA-9AAAF00ED4CC}" name="Tabela4" displayName="Tabela4" ref="A35:B38" totalsRowShown="0">
  <autoFilter ref="A35:B38" xr:uid="{6AD79C83-108E-4E0D-A2FA-9AAAF00ED4CC}"/>
  <tableColumns count="2">
    <tableColumn id="1" xr3:uid="{B9C49773-9C67-4C0F-9A0A-414449C85FBF}" name="SOLDA"/>
    <tableColumn id="2" xr3:uid="{F59BF003-845C-48E9-93A7-BADBCC4EB561}" name="PRODUCAO" dataDxfId="3" dataCellStyle="Vírgula">
      <calculatedColumnFormula>SUMIFS(BD_LANÇAMENTOS!D:D,BD_LANÇAMENTOS!C:C,A36,BD_LANÇAMENTOS!N:N,PROJETO!$Y$2,BD_LANÇAMENTOS!O:O,$A$35)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698E-75B7-4C55-9697-5F945C7FCAE7}">
  <sheetPr codeName="Planilha3"/>
  <dimension ref="A1:F68"/>
  <sheetViews>
    <sheetView topLeftCell="A23" zoomScale="115" zoomScaleNormal="115" workbookViewId="0">
      <selection activeCell="A31" sqref="A31"/>
    </sheetView>
  </sheetViews>
  <sheetFormatPr defaultRowHeight="15" x14ac:dyDescent="0.25"/>
  <cols>
    <col min="1" max="1" width="27.5703125" bestFit="1" customWidth="1"/>
    <col min="3" max="3" width="38.85546875" bestFit="1" customWidth="1"/>
    <col min="4" max="4" width="21.140625" customWidth="1"/>
    <col min="6" max="6" width="18.140625" bestFit="1" customWidth="1"/>
  </cols>
  <sheetData>
    <row r="1" spans="1:6" ht="24" thickBot="1" x14ac:dyDescent="0.4">
      <c r="A1" s="21" t="s">
        <v>1174</v>
      </c>
      <c r="B1" s="21"/>
      <c r="C1" s="21" t="s">
        <v>1130</v>
      </c>
      <c r="D1" s="21" t="s">
        <v>1179</v>
      </c>
      <c r="E1" s="73"/>
      <c r="F1" s="21" t="s">
        <v>1082</v>
      </c>
    </row>
    <row r="2" spans="1:6" ht="19.5" thickBot="1" x14ac:dyDescent="0.35">
      <c r="A2" s="19" t="s">
        <v>1145</v>
      </c>
      <c r="C2" s="22" t="s">
        <v>1098</v>
      </c>
      <c r="D2" s="70">
        <v>550</v>
      </c>
      <c r="E2" s="74"/>
      <c r="F2" s="71" t="s">
        <v>1157</v>
      </c>
    </row>
    <row r="3" spans="1:6" ht="19.5" thickBot="1" x14ac:dyDescent="0.35">
      <c r="A3" s="20" t="s">
        <v>1344</v>
      </c>
      <c r="C3" s="22" t="s">
        <v>1087</v>
      </c>
      <c r="D3" s="75">
        <v>180</v>
      </c>
      <c r="E3" s="74"/>
      <c r="F3" s="71" t="s">
        <v>1158</v>
      </c>
    </row>
    <row r="4" spans="1:6" ht="19.5" thickBot="1" x14ac:dyDescent="0.35">
      <c r="A4" s="23" t="s">
        <v>1191</v>
      </c>
      <c r="C4" s="22" t="s">
        <v>1099</v>
      </c>
      <c r="D4" s="70">
        <v>284</v>
      </c>
      <c r="E4" s="74"/>
      <c r="F4" s="71" t="s">
        <v>1159</v>
      </c>
    </row>
    <row r="5" spans="1:6" ht="19.5" thickBot="1" x14ac:dyDescent="0.35">
      <c r="A5" s="23" t="s">
        <v>1194</v>
      </c>
      <c r="C5" s="22" t="s">
        <v>1096</v>
      </c>
      <c r="D5" s="75">
        <v>176</v>
      </c>
      <c r="E5" s="76"/>
      <c r="F5" s="71" t="s">
        <v>1160</v>
      </c>
    </row>
    <row r="6" spans="1:6" ht="19.5" thickBot="1" x14ac:dyDescent="0.35">
      <c r="A6" s="20" t="s">
        <v>1152</v>
      </c>
      <c r="C6" s="22" t="s">
        <v>1091</v>
      </c>
      <c r="D6" s="75">
        <v>189</v>
      </c>
      <c r="E6" s="76"/>
      <c r="F6" s="71" t="s">
        <v>1161</v>
      </c>
    </row>
    <row r="7" spans="1:6" ht="19.5" thickBot="1" x14ac:dyDescent="0.35">
      <c r="A7" s="20" t="s">
        <v>1147</v>
      </c>
      <c r="C7" s="22" t="s">
        <v>1100</v>
      </c>
      <c r="D7" s="75">
        <v>340</v>
      </c>
      <c r="E7" s="76"/>
      <c r="F7" s="71" t="s">
        <v>1162</v>
      </c>
    </row>
    <row r="8" spans="1:6" ht="19.5" thickBot="1" x14ac:dyDescent="0.35">
      <c r="A8" s="20" t="s">
        <v>1370</v>
      </c>
      <c r="C8" s="22" t="s">
        <v>1101</v>
      </c>
      <c r="D8" s="75">
        <v>180</v>
      </c>
      <c r="E8" s="76"/>
      <c r="F8" s="71" t="s">
        <v>1163</v>
      </c>
    </row>
    <row r="9" spans="1:6" ht="19.5" thickBot="1" x14ac:dyDescent="0.35">
      <c r="A9" s="20" t="s">
        <v>1192</v>
      </c>
      <c r="C9" s="22" t="s">
        <v>1102</v>
      </c>
      <c r="D9" s="70">
        <v>284</v>
      </c>
      <c r="E9" s="76"/>
      <c r="F9" s="71" t="s">
        <v>1164</v>
      </c>
    </row>
    <row r="10" spans="1:6" ht="19.5" thickBot="1" x14ac:dyDescent="0.35">
      <c r="A10" s="20" t="s">
        <v>1153</v>
      </c>
      <c r="C10" s="22" t="s">
        <v>1103</v>
      </c>
      <c r="D10" s="70">
        <v>112</v>
      </c>
      <c r="E10" s="76"/>
      <c r="F10" s="71" t="s">
        <v>1165</v>
      </c>
    </row>
    <row r="11" spans="1:6" ht="19.5" thickBot="1" x14ac:dyDescent="0.35">
      <c r="A11" s="20" t="s">
        <v>1150</v>
      </c>
      <c r="C11" s="22" t="s">
        <v>1104</v>
      </c>
      <c r="D11" s="75">
        <v>171</v>
      </c>
      <c r="E11" s="76"/>
      <c r="F11" s="71" t="s">
        <v>1166</v>
      </c>
    </row>
    <row r="12" spans="1:6" ht="19.5" thickBot="1" x14ac:dyDescent="0.35">
      <c r="A12" s="20" t="s">
        <v>1351</v>
      </c>
      <c r="C12" s="22" t="s">
        <v>1105</v>
      </c>
      <c r="D12" s="75">
        <v>460</v>
      </c>
      <c r="E12" s="76"/>
      <c r="F12" s="71" t="s">
        <v>1167</v>
      </c>
    </row>
    <row r="13" spans="1:6" ht="19.5" thickBot="1" x14ac:dyDescent="0.35">
      <c r="A13" s="20" t="s">
        <v>1350</v>
      </c>
      <c r="C13" s="22" t="s">
        <v>1106</v>
      </c>
      <c r="D13" s="70">
        <v>180</v>
      </c>
      <c r="E13" s="76"/>
      <c r="F13" s="71" t="s">
        <v>1168</v>
      </c>
    </row>
    <row r="14" spans="1:6" ht="19.5" thickBot="1" x14ac:dyDescent="0.35">
      <c r="A14" s="20" t="s">
        <v>1182</v>
      </c>
      <c r="C14" s="22" t="s">
        <v>1107</v>
      </c>
      <c r="D14" s="70"/>
      <c r="E14" s="76"/>
      <c r="F14" s="71" t="s">
        <v>1169</v>
      </c>
    </row>
    <row r="15" spans="1:6" ht="19.5" thickBot="1" x14ac:dyDescent="0.35">
      <c r="A15" s="20" t="s">
        <v>1151</v>
      </c>
      <c r="C15" s="22" t="s">
        <v>1085</v>
      </c>
      <c r="D15" s="70">
        <v>144</v>
      </c>
      <c r="E15" s="76"/>
      <c r="F15" s="71" t="s">
        <v>1170</v>
      </c>
    </row>
    <row r="16" spans="1:6" ht="19.5" thickBot="1" x14ac:dyDescent="0.35">
      <c r="A16" s="20" t="s">
        <v>1353</v>
      </c>
      <c r="C16" s="22" t="s">
        <v>1108</v>
      </c>
      <c r="D16" s="75">
        <v>133</v>
      </c>
      <c r="E16" s="76"/>
      <c r="F16" s="71" t="s">
        <v>1171</v>
      </c>
    </row>
    <row r="17" spans="1:6" ht="19.5" thickBot="1" x14ac:dyDescent="0.35">
      <c r="A17" s="20" t="s">
        <v>1156</v>
      </c>
      <c r="C17" s="22" t="s">
        <v>1109</v>
      </c>
      <c r="D17" s="75">
        <v>200</v>
      </c>
      <c r="E17" s="76"/>
      <c r="F17" s="71" t="s">
        <v>1172</v>
      </c>
    </row>
    <row r="18" spans="1:6" ht="19.5" thickBot="1" x14ac:dyDescent="0.35">
      <c r="A18" s="20" t="s">
        <v>1155</v>
      </c>
      <c r="C18" s="22" t="s">
        <v>1086</v>
      </c>
      <c r="D18" s="75">
        <v>180</v>
      </c>
      <c r="E18" s="76"/>
      <c r="F18" s="71" t="s">
        <v>1359</v>
      </c>
    </row>
    <row r="19" spans="1:6" ht="19.5" thickBot="1" x14ac:dyDescent="0.35">
      <c r="A19" s="23" t="s">
        <v>1154</v>
      </c>
      <c r="C19" s="22" t="s">
        <v>1088</v>
      </c>
      <c r="D19" s="70"/>
      <c r="E19" s="76"/>
      <c r="F19" s="72" t="s">
        <v>1173</v>
      </c>
    </row>
    <row r="20" spans="1:6" ht="19.5" thickBot="1" x14ac:dyDescent="0.35">
      <c r="A20" s="23" t="s">
        <v>1181</v>
      </c>
      <c r="C20" s="22" t="s">
        <v>1094</v>
      </c>
      <c r="D20" s="75">
        <v>88</v>
      </c>
      <c r="E20" s="76"/>
      <c r="F20" s="72" t="s">
        <v>1359</v>
      </c>
    </row>
    <row r="21" spans="1:6" ht="19.5" thickBot="1" x14ac:dyDescent="0.35">
      <c r="A21" s="23" t="s">
        <v>1366</v>
      </c>
      <c r="C21" s="22" t="s">
        <v>1090</v>
      </c>
      <c r="D21" s="75">
        <v>100</v>
      </c>
      <c r="E21" s="76"/>
      <c r="F21" s="81" t="s">
        <v>1373</v>
      </c>
    </row>
    <row r="22" spans="1:6" ht="19.5" thickBot="1" x14ac:dyDescent="0.35">
      <c r="A22" s="44" t="s">
        <v>1355</v>
      </c>
      <c r="C22" s="22" t="s">
        <v>1110</v>
      </c>
      <c r="D22" s="70"/>
      <c r="E22" s="76"/>
      <c r="F22" s="81" t="s">
        <v>1376</v>
      </c>
    </row>
    <row r="23" spans="1:6" ht="19.5" thickBot="1" x14ac:dyDescent="0.35">
      <c r="A23" s="44" t="s">
        <v>1344</v>
      </c>
      <c r="C23" s="22" t="s">
        <v>1111</v>
      </c>
      <c r="D23" s="75">
        <v>60</v>
      </c>
      <c r="E23" s="76"/>
    </row>
    <row r="24" spans="1:6" ht="19.5" thickBot="1" x14ac:dyDescent="0.35">
      <c r="A24" s="44" t="s">
        <v>1356</v>
      </c>
      <c r="C24" s="22" t="s">
        <v>1112</v>
      </c>
      <c r="D24" s="70">
        <v>60</v>
      </c>
      <c r="E24" s="76"/>
    </row>
    <row r="25" spans="1:6" ht="19.5" thickBot="1" x14ac:dyDescent="0.35">
      <c r="A25" s="44" t="s">
        <v>1367</v>
      </c>
      <c r="C25" s="22" t="s">
        <v>1113</v>
      </c>
      <c r="D25" s="70">
        <v>32</v>
      </c>
      <c r="E25" s="76"/>
    </row>
    <row r="26" spans="1:6" ht="19.5" thickBot="1" x14ac:dyDescent="0.35">
      <c r="A26" s="44" t="s">
        <v>1368</v>
      </c>
      <c r="C26" s="22" t="s">
        <v>1114</v>
      </c>
      <c r="D26" s="70">
        <v>39</v>
      </c>
      <c r="E26" s="76"/>
    </row>
    <row r="27" spans="1:6" ht="19.5" thickBot="1" x14ac:dyDescent="0.35">
      <c r="A27" s="44" t="s">
        <v>1369</v>
      </c>
      <c r="C27" s="22" t="s">
        <v>1092</v>
      </c>
      <c r="D27" s="70">
        <v>39</v>
      </c>
      <c r="E27" s="76"/>
    </row>
    <row r="28" spans="1:6" ht="19.5" thickBot="1" x14ac:dyDescent="0.35">
      <c r="A28" s="105" t="s">
        <v>1381</v>
      </c>
      <c r="C28" s="22" t="s">
        <v>1093</v>
      </c>
      <c r="D28" s="70">
        <v>1000</v>
      </c>
      <c r="E28" s="76"/>
    </row>
    <row r="29" spans="1:6" ht="19.5" thickBot="1" x14ac:dyDescent="0.35">
      <c r="A29" s="105" t="s">
        <v>1377</v>
      </c>
      <c r="C29" s="22" t="s">
        <v>1115</v>
      </c>
      <c r="D29" s="70"/>
      <c r="E29" s="76"/>
    </row>
    <row r="30" spans="1:6" ht="19.5" thickBot="1" x14ac:dyDescent="0.35">
      <c r="A30" s="105" t="s">
        <v>1382</v>
      </c>
      <c r="C30" s="22" t="s">
        <v>1116</v>
      </c>
      <c r="D30" s="70">
        <v>800</v>
      </c>
      <c r="E30" s="76"/>
    </row>
    <row r="31" spans="1:6" ht="19.5" thickBot="1" x14ac:dyDescent="0.35">
      <c r="C31" s="22" t="s">
        <v>1117</v>
      </c>
      <c r="D31" s="70">
        <v>32</v>
      </c>
      <c r="E31" s="76"/>
    </row>
    <row r="32" spans="1:6" ht="19.5" thickBot="1" x14ac:dyDescent="0.35">
      <c r="C32" s="22" t="s">
        <v>1118</v>
      </c>
      <c r="D32" s="70">
        <v>39</v>
      </c>
      <c r="E32" s="76"/>
    </row>
    <row r="33" spans="3:5" ht="19.5" thickBot="1" x14ac:dyDescent="0.35">
      <c r="C33" s="22" t="s">
        <v>1148</v>
      </c>
      <c r="D33" s="70">
        <v>800</v>
      </c>
      <c r="E33" s="76"/>
    </row>
    <row r="34" spans="3:5" ht="19.5" thickBot="1" x14ac:dyDescent="0.35">
      <c r="C34" s="22" t="s">
        <v>1149</v>
      </c>
      <c r="D34" s="70">
        <v>1160</v>
      </c>
      <c r="E34" s="76"/>
    </row>
    <row r="35" spans="3:5" ht="19.5" thickBot="1" x14ac:dyDescent="0.35">
      <c r="C35" s="22" t="s">
        <v>1123</v>
      </c>
      <c r="D35" s="70"/>
      <c r="E35" s="76"/>
    </row>
    <row r="36" spans="3:5" ht="19.5" thickBot="1" x14ac:dyDescent="0.35">
      <c r="C36" s="22" t="s">
        <v>1122</v>
      </c>
      <c r="D36" s="70">
        <v>350</v>
      </c>
      <c r="E36" s="76"/>
    </row>
    <row r="37" spans="3:5" ht="19.5" thickBot="1" x14ac:dyDescent="0.35">
      <c r="C37" s="22" t="s">
        <v>1124</v>
      </c>
      <c r="D37" s="75">
        <v>180</v>
      </c>
      <c r="E37" s="76"/>
    </row>
    <row r="38" spans="3:5" ht="19.5" thickBot="1" x14ac:dyDescent="0.35">
      <c r="C38" s="22" t="s">
        <v>1125</v>
      </c>
      <c r="D38" s="70"/>
      <c r="E38" s="76"/>
    </row>
    <row r="39" spans="3:5" ht="19.5" thickBot="1" x14ac:dyDescent="0.35">
      <c r="C39" s="22" t="s">
        <v>1126</v>
      </c>
      <c r="D39" s="75">
        <v>270</v>
      </c>
      <c r="E39" s="76"/>
    </row>
    <row r="40" spans="3:5" ht="19.5" thickBot="1" x14ac:dyDescent="0.35">
      <c r="C40" s="22" t="s">
        <v>1127</v>
      </c>
      <c r="D40" s="70">
        <v>900</v>
      </c>
      <c r="E40" s="76"/>
    </row>
    <row r="41" spans="3:5" ht="19.5" thickBot="1" x14ac:dyDescent="0.35">
      <c r="C41" s="22" t="s">
        <v>1119</v>
      </c>
      <c r="D41" s="70">
        <v>700</v>
      </c>
      <c r="E41" s="76"/>
    </row>
    <row r="42" spans="3:5" ht="19.5" thickBot="1" x14ac:dyDescent="0.35">
      <c r="C42" s="22" t="s">
        <v>1095</v>
      </c>
      <c r="D42" s="75">
        <v>222</v>
      </c>
      <c r="E42" s="76"/>
    </row>
    <row r="43" spans="3:5" ht="19.5" thickBot="1" x14ac:dyDescent="0.35">
      <c r="C43" s="22" t="s">
        <v>1089</v>
      </c>
      <c r="D43" s="75">
        <v>180</v>
      </c>
      <c r="E43" s="76"/>
    </row>
    <row r="44" spans="3:5" ht="19.5" thickBot="1" x14ac:dyDescent="0.35">
      <c r="C44" s="22" t="s">
        <v>1128</v>
      </c>
      <c r="D44" s="70">
        <v>180</v>
      </c>
      <c r="E44" s="76"/>
    </row>
    <row r="45" spans="3:5" ht="19.5" thickBot="1" x14ac:dyDescent="0.35">
      <c r="C45" s="22" t="s">
        <v>1097</v>
      </c>
      <c r="D45" s="75">
        <v>270</v>
      </c>
      <c r="E45" s="76"/>
    </row>
    <row r="46" spans="3:5" ht="19.5" thickBot="1" x14ac:dyDescent="0.35">
      <c r="C46" s="22" t="s">
        <v>1129</v>
      </c>
      <c r="D46" s="70">
        <v>900</v>
      </c>
      <c r="E46" s="76"/>
    </row>
    <row r="47" spans="3:5" ht="19.5" thickBot="1" x14ac:dyDescent="0.35">
      <c r="C47" s="22" t="s">
        <v>1135</v>
      </c>
      <c r="D47" s="70"/>
      <c r="E47" s="76"/>
    </row>
    <row r="48" spans="3:5" ht="19.5" thickBot="1" x14ac:dyDescent="0.35">
      <c r="C48" s="22" t="s">
        <v>1134</v>
      </c>
      <c r="D48" s="70">
        <v>140</v>
      </c>
      <c r="E48" s="76"/>
    </row>
    <row r="49" spans="3:5" ht="19.5" thickBot="1" x14ac:dyDescent="0.35">
      <c r="C49" s="22" t="s">
        <v>1133</v>
      </c>
      <c r="D49" s="75">
        <v>180</v>
      </c>
      <c r="E49" s="76"/>
    </row>
    <row r="50" spans="3:5" ht="19.5" thickBot="1" x14ac:dyDescent="0.35">
      <c r="C50" s="22" t="s">
        <v>1132</v>
      </c>
      <c r="D50" s="70">
        <v>180</v>
      </c>
      <c r="E50" s="76"/>
    </row>
    <row r="51" spans="3:5" ht="19.5" thickBot="1" x14ac:dyDescent="0.35">
      <c r="C51" s="22" t="s">
        <v>1136</v>
      </c>
      <c r="D51" s="70">
        <v>180</v>
      </c>
      <c r="E51" s="76"/>
    </row>
    <row r="52" spans="3:5" ht="19.5" thickBot="1" x14ac:dyDescent="0.35">
      <c r="C52" s="22" t="s">
        <v>1131</v>
      </c>
      <c r="D52" s="70"/>
      <c r="E52" s="76"/>
    </row>
    <row r="53" spans="3:5" ht="19.5" thickBot="1" x14ac:dyDescent="0.35">
      <c r="C53" s="22" t="s">
        <v>1120</v>
      </c>
      <c r="D53" s="75">
        <v>640</v>
      </c>
      <c r="E53" s="76"/>
    </row>
    <row r="54" spans="3:5" ht="19.5" thickBot="1" x14ac:dyDescent="0.35">
      <c r="C54" s="22" t="s">
        <v>1137</v>
      </c>
      <c r="D54" s="75">
        <v>144</v>
      </c>
      <c r="E54" s="76"/>
    </row>
    <row r="55" spans="3:5" ht="19.5" thickBot="1" x14ac:dyDescent="0.35">
      <c r="C55" s="22" t="s">
        <v>1138</v>
      </c>
      <c r="D55" s="70"/>
      <c r="E55" s="76"/>
    </row>
    <row r="56" spans="3:5" ht="19.5" thickBot="1" x14ac:dyDescent="0.35">
      <c r="C56" s="22" t="s">
        <v>1139</v>
      </c>
      <c r="D56" s="75">
        <v>120</v>
      </c>
      <c r="E56" s="76"/>
    </row>
    <row r="57" spans="3:5" ht="19.5" thickBot="1" x14ac:dyDescent="0.35">
      <c r="C57" s="22" t="s">
        <v>1121</v>
      </c>
      <c r="D57" s="70">
        <v>520</v>
      </c>
      <c r="E57" s="76"/>
    </row>
    <row r="58" spans="3:5" ht="19.5" thickBot="1" x14ac:dyDescent="0.35">
      <c r="C58" s="22" t="s">
        <v>1140</v>
      </c>
      <c r="D58" s="70"/>
      <c r="E58" s="76"/>
    </row>
    <row r="59" spans="3:5" ht="19.5" thickBot="1" x14ac:dyDescent="0.35">
      <c r="C59" s="22" t="s">
        <v>1142</v>
      </c>
      <c r="D59" s="70"/>
      <c r="E59" s="76"/>
    </row>
    <row r="60" spans="3:5" ht="19.5" thickBot="1" x14ac:dyDescent="0.35">
      <c r="C60" s="22" t="s">
        <v>1141</v>
      </c>
      <c r="D60" s="70">
        <v>144</v>
      </c>
      <c r="E60" s="76"/>
    </row>
    <row r="61" spans="3:5" ht="19.5" thickBot="1" x14ac:dyDescent="0.35">
      <c r="C61" s="22" t="s">
        <v>1143</v>
      </c>
      <c r="D61" s="70">
        <v>227</v>
      </c>
      <c r="E61" s="76"/>
    </row>
    <row r="62" spans="3:5" ht="19.5" thickBot="1" x14ac:dyDescent="0.35">
      <c r="C62" s="22" t="s">
        <v>1144</v>
      </c>
      <c r="D62" s="70">
        <v>1000</v>
      </c>
      <c r="E62" s="76"/>
    </row>
    <row r="63" spans="3:5" ht="18.75" x14ac:dyDescent="0.3">
      <c r="C63" s="22" t="s">
        <v>942</v>
      </c>
      <c r="D63" s="70">
        <v>570</v>
      </c>
      <c r="E63" s="76"/>
    </row>
    <row r="64" spans="3:5" ht="18.75" x14ac:dyDescent="0.3">
      <c r="C64" s="80" t="s">
        <v>1372</v>
      </c>
    </row>
    <row r="65" spans="3:3" ht="18.75" x14ac:dyDescent="0.3">
      <c r="C65" s="80" t="s">
        <v>1374</v>
      </c>
    </row>
    <row r="66" spans="3:3" ht="18.75" x14ac:dyDescent="0.3">
      <c r="C66" s="80" t="s">
        <v>1371</v>
      </c>
    </row>
    <row r="67" spans="3:3" ht="18.75" x14ac:dyDescent="0.3">
      <c r="C67" s="80" t="s">
        <v>1375</v>
      </c>
    </row>
    <row r="68" spans="3:3" ht="18.75" x14ac:dyDescent="0.3">
      <c r="C68" s="80" t="s">
        <v>1376</v>
      </c>
    </row>
  </sheetData>
  <autoFilter ref="C1:C68" xr:uid="{EB0E698E-75B7-4C55-9697-5F945C7FCAE7}"/>
  <phoneticPr fontId="8" type="noConversion"/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181B-D6A6-48E6-8D5D-28A46AFA6FB3}">
  <sheetPr codeName="Planilha5">
    <pageSetUpPr fitToPage="1"/>
  </sheetPr>
  <dimension ref="A1:U62"/>
  <sheetViews>
    <sheetView tabSelected="1" zoomScale="64" zoomScaleNormal="64" zoomScaleSheetLayoutView="85" workbookViewId="0">
      <pane ySplit="2" topLeftCell="A3" activePane="bottomLeft" state="frozen"/>
      <selection pane="bottomLeft" sqref="A1:U11"/>
    </sheetView>
  </sheetViews>
  <sheetFormatPr defaultColWidth="9.140625" defaultRowHeight="15" x14ac:dyDescent="0.25"/>
  <cols>
    <col min="1" max="1" width="27.28515625" style="1" customWidth="1"/>
    <col min="2" max="2" width="37.5703125" style="43" customWidth="1"/>
    <col min="3" max="3" width="27.7109375" style="1" bestFit="1" customWidth="1"/>
    <col min="4" max="4" width="22.28515625" style="2" customWidth="1"/>
    <col min="5" max="5" width="20.85546875" style="2" bestFit="1" customWidth="1"/>
    <col min="6" max="6" width="19.42578125" style="2" bestFit="1" customWidth="1"/>
    <col min="7" max="7" width="19.85546875" style="2" customWidth="1"/>
    <col min="8" max="8" width="18.42578125" style="2" customWidth="1"/>
    <col min="9" max="9" width="22.140625" style="2" customWidth="1"/>
    <col min="10" max="10" width="19.5703125" style="2" bestFit="1" customWidth="1"/>
    <col min="11" max="11" width="14.7109375" style="1" hidden="1" customWidth="1"/>
    <col min="12" max="12" width="12.7109375" style="1" hidden="1" customWidth="1"/>
    <col min="13" max="13" width="8.7109375" style="1" hidden="1" customWidth="1"/>
    <col min="14" max="14" width="10.85546875" style="1" hidden="1" customWidth="1"/>
    <col min="15" max="15" width="13.140625" style="1" hidden="1" customWidth="1"/>
    <col min="16" max="16" width="24.140625" style="2" hidden="1" customWidth="1"/>
    <col min="17" max="17" width="21.85546875" style="2" hidden="1" customWidth="1"/>
    <col min="18" max="18" width="21.140625" style="2" hidden="1" customWidth="1"/>
    <col min="19" max="19" width="12.140625" style="2" customWidth="1"/>
    <col min="20" max="20" width="25.85546875" style="2" bestFit="1" customWidth="1"/>
    <col min="21" max="25" width="16.140625" style="1" customWidth="1"/>
    <col min="26" max="16384" width="9.140625" style="1"/>
  </cols>
  <sheetData>
    <row r="1" spans="1:21" ht="27" thickBot="1" x14ac:dyDescent="0.3">
      <c r="A1" s="45" t="s">
        <v>1380</v>
      </c>
      <c r="B1" s="189" t="s">
        <v>1379</v>
      </c>
      <c r="C1" s="189"/>
      <c r="D1" s="189"/>
      <c r="E1" s="189"/>
      <c r="F1" s="189"/>
      <c r="G1" s="189"/>
      <c r="H1" s="189"/>
      <c r="I1" s="189"/>
      <c r="J1" s="190"/>
      <c r="K1" s="47"/>
      <c r="L1" s="47"/>
      <c r="M1" s="47"/>
      <c r="N1" s="47"/>
      <c r="O1" s="47"/>
      <c r="P1" s="46"/>
      <c r="Q1" s="58"/>
      <c r="R1" s="58"/>
      <c r="S1" s="58"/>
      <c r="T1" s="58"/>
      <c r="U1" s="58"/>
    </row>
    <row r="2" spans="1:21" ht="35.25" customHeight="1" thickBot="1" x14ac:dyDescent="0.3">
      <c r="A2" s="48" t="s">
        <v>1195</v>
      </c>
      <c r="B2" s="48" t="s">
        <v>1083</v>
      </c>
      <c r="C2" s="49" t="s">
        <v>1084</v>
      </c>
      <c r="D2" s="48" t="s">
        <v>1175</v>
      </c>
      <c r="E2" s="50" t="s">
        <v>1176</v>
      </c>
      <c r="F2" s="50" t="s">
        <v>1177</v>
      </c>
      <c r="G2" s="50" t="s">
        <v>1180</v>
      </c>
      <c r="H2" s="51" t="s">
        <v>1178</v>
      </c>
      <c r="I2" s="60" t="s">
        <v>1364</v>
      </c>
      <c r="J2" s="48" t="s">
        <v>1146</v>
      </c>
      <c r="K2" s="47" t="s">
        <v>1215</v>
      </c>
      <c r="L2" s="47" t="s">
        <v>1214</v>
      </c>
      <c r="M2" s="47" t="s">
        <v>1200</v>
      </c>
      <c r="N2" s="47" t="s">
        <v>1196</v>
      </c>
      <c r="O2" s="47" t="s">
        <v>1213</v>
      </c>
      <c r="P2" s="52" t="s">
        <v>1352</v>
      </c>
      <c r="Q2" s="59" t="s">
        <v>1361</v>
      </c>
      <c r="R2" s="59" t="s">
        <v>1363</v>
      </c>
      <c r="S2" s="61" t="s">
        <v>1362</v>
      </c>
      <c r="T2" s="60" t="s">
        <v>1365</v>
      </c>
      <c r="U2" s="62" t="s">
        <v>1360</v>
      </c>
    </row>
    <row r="3" spans="1:21" ht="19.5" thickBot="1" x14ac:dyDescent="0.35">
      <c r="A3" s="53" t="s">
        <v>1172</v>
      </c>
      <c r="B3" s="55" t="s">
        <v>1120</v>
      </c>
      <c r="C3" s="20" t="s">
        <v>1344</v>
      </c>
      <c r="D3" s="91">
        <v>2926</v>
      </c>
      <c r="E3" s="90">
        <v>46166.875</v>
      </c>
      <c r="F3" s="90">
        <v>46167.25</v>
      </c>
      <c r="G3" s="68">
        <v>8.819444444444445E-2</v>
      </c>
      <c r="H3" s="86">
        <f t="shared" ref="H3:H31" si="0">(F3-E3)-G3</f>
        <v>0.28680555555555554</v>
      </c>
      <c r="I3" s="87">
        <f>_xlfn.XLOOKUP(B3,[1]BD!C:C,[1]BD!D:D)*L3</f>
        <v>4405.3333333333339</v>
      </c>
      <c r="J3" s="88">
        <f t="shared" ref="J3:J31" si="1">IFERROR(D3/I3,"")</f>
        <v>0.66419491525423724</v>
      </c>
      <c r="K3" s="100">
        <f t="shared" ref="K3:K31" si="2">H3*24*60</f>
        <v>413</v>
      </c>
      <c r="L3" s="101">
        <f t="shared" ref="L3:L31" si="3">K3/60</f>
        <v>6.8833333333333337</v>
      </c>
      <c r="M3" s="36" t="e">
        <f>IF([1]!Tabela5[[#This Row],[MAQUINA]]="","",TEXT([1]!Tabela5[[#This Row],[HORA
INÍCIO]],"MMMM"))</f>
        <v>#REF!</v>
      </c>
      <c r="N3" s="102" t="e">
        <f>IF([1]!Tabela5[[#This Row],[MAQUINA]]="","",DATE(YEAR(E3),MONTH(E3),DAY(E3)))</f>
        <v>#REF!</v>
      </c>
      <c r="O3" s="36" t="str">
        <f>IFERROR(LEFT([1]!Tabela5[[#This Row],[MAQUINA]],SEARCH(" ",[1]!Tabela5[[#This Row],[MAQUINA]],1)-1),"")</f>
        <v/>
      </c>
      <c r="P3" s="34"/>
      <c r="Q3" s="103">
        <f t="shared" ref="Q3:Q31" si="4">R3*24*60</f>
        <v>527.99999999999989</v>
      </c>
      <c r="R3" s="82">
        <v>0.36666666666666664</v>
      </c>
      <c r="S3" s="104">
        <v>7.8000000000000007</v>
      </c>
      <c r="T3" s="87">
        <f>_xlfn.XLOOKUP(B3,[1]BD!C:C,[1]BD!D:D)*S3</f>
        <v>4992</v>
      </c>
      <c r="U3" s="89">
        <f t="shared" ref="U3:U31" si="5">IFERROR(D3/T3,"")</f>
        <v>0.58613782051282048</v>
      </c>
    </row>
    <row r="4" spans="1:21" ht="19.5" thickBot="1" x14ac:dyDescent="0.35">
      <c r="A4" s="53" t="s">
        <v>1158</v>
      </c>
      <c r="B4" s="55" t="s">
        <v>1124</v>
      </c>
      <c r="C4" s="20" t="s">
        <v>1181</v>
      </c>
      <c r="D4" s="91">
        <v>1337</v>
      </c>
      <c r="E4" s="90">
        <v>46166.875</v>
      </c>
      <c r="F4" s="90">
        <v>46167.25</v>
      </c>
      <c r="G4" s="68">
        <v>8.4722222222222227E-2</v>
      </c>
      <c r="H4" s="86">
        <f t="shared" si="0"/>
        <v>0.29027777777777775</v>
      </c>
      <c r="I4" s="87">
        <f>_xlfn.XLOOKUP(B4,[1]BD!C:C,[1]BD!D:D)*L4</f>
        <v>1253.9999999999998</v>
      </c>
      <c r="J4" s="88">
        <f t="shared" si="1"/>
        <v>1.0661881977671452</v>
      </c>
      <c r="K4" s="100">
        <f t="shared" si="2"/>
        <v>417.99999999999994</v>
      </c>
      <c r="L4" s="101">
        <f t="shared" si="3"/>
        <v>6.9666666666666659</v>
      </c>
      <c r="M4" s="36" t="e">
        <f>IF([1]!Tabela5[[#This Row],[MAQUINA]]="","",TEXT([1]!Tabela5[[#This Row],[HORA
INÍCIO]],"MMMM"))</f>
        <v>#REF!</v>
      </c>
      <c r="N4" s="102" t="e">
        <f>IF([1]!Tabela5[[#This Row],[MAQUINA]]="","",DATE(YEAR(E4),MONTH(E4),DAY(E4)))</f>
        <v>#REF!</v>
      </c>
      <c r="O4" s="36" t="str">
        <f>IFERROR(LEFT([1]!Tabela5[[#This Row],[MAQUINA]],SEARCH(" ",[1]!Tabela5[[#This Row],[MAQUINA]],1)-1),"")</f>
        <v/>
      </c>
      <c r="P4" s="34"/>
      <c r="Q4" s="103">
        <f t="shared" si="4"/>
        <v>527.99999999999989</v>
      </c>
      <c r="R4" s="82">
        <v>0.36666666666666664</v>
      </c>
      <c r="S4" s="104">
        <v>7.8000000000000007</v>
      </c>
      <c r="T4" s="87">
        <f>_xlfn.XLOOKUP(B4,[1]BD!C:C,[1]BD!D:D)*S4</f>
        <v>1404.0000000000002</v>
      </c>
      <c r="U4" s="89">
        <f t="shared" si="5"/>
        <v>0.95227920227920215</v>
      </c>
    </row>
    <row r="5" spans="1:21" ht="20.25" customHeight="1" thickBot="1" x14ac:dyDescent="0.35">
      <c r="A5" s="53" t="s">
        <v>1159</v>
      </c>
      <c r="B5" s="55" t="s">
        <v>1137</v>
      </c>
      <c r="C5" s="20" t="s">
        <v>1182</v>
      </c>
      <c r="D5" s="91">
        <v>1150</v>
      </c>
      <c r="E5" s="90">
        <v>46166.875</v>
      </c>
      <c r="F5" s="90">
        <v>46167.25</v>
      </c>
      <c r="G5" s="68">
        <v>0.12361111111111112</v>
      </c>
      <c r="H5" s="86">
        <f t="shared" si="0"/>
        <v>0.25138888888888888</v>
      </c>
      <c r="I5" s="87">
        <f>_xlfn.XLOOKUP(B5,[1]BD!C:C,[1]BD!D:D)*L5</f>
        <v>868.8</v>
      </c>
      <c r="J5" s="88">
        <f t="shared" si="1"/>
        <v>1.3236648250460405</v>
      </c>
      <c r="K5" s="100">
        <f t="shared" si="2"/>
        <v>362</v>
      </c>
      <c r="L5" s="101">
        <f t="shared" si="3"/>
        <v>6.0333333333333332</v>
      </c>
      <c r="M5" s="36" t="e">
        <f>IF([1]!Tabela5[[#This Row],[MAQUINA]]="","",TEXT([1]!Tabela5[[#This Row],[HORA
INÍCIO]],"MMMM"))</f>
        <v>#REF!</v>
      </c>
      <c r="N5" s="102" t="e">
        <f>IF([1]!Tabela5[[#This Row],[MAQUINA]]="","",DATE(YEAR(E5),MONTH(E5),DAY(E5)))</f>
        <v>#REF!</v>
      </c>
      <c r="O5" s="36" t="str">
        <f>IFERROR(LEFT([1]!Tabela5[[#This Row],[MAQUINA]],SEARCH(" ",[1]!Tabela5[[#This Row],[MAQUINA]],1)-1),"")</f>
        <v/>
      </c>
      <c r="P5" s="34"/>
      <c r="Q5" s="103">
        <f t="shared" si="4"/>
        <v>527.99999999999989</v>
      </c>
      <c r="R5" s="82">
        <v>0.36666666666666664</v>
      </c>
      <c r="S5" s="104">
        <v>7.8000000000000007</v>
      </c>
      <c r="T5" s="87">
        <f>_xlfn.XLOOKUP(B5,[1]BD!C:C,[1]BD!D:D)*S5</f>
        <v>1123.2</v>
      </c>
      <c r="U5" s="89">
        <f t="shared" si="5"/>
        <v>1.0238603988603989</v>
      </c>
    </row>
    <row r="6" spans="1:21" ht="20.25" customHeight="1" thickBot="1" x14ac:dyDescent="0.35">
      <c r="A6" s="53" t="s">
        <v>1166</v>
      </c>
      <c r="B6" s="55" t="s">
        <v>1091</v>
      </c>
      <c r="C6" s="20" t="s">
        <v>1350</v>
      </c>
      <c r="D6" s="91">
        <v>780</v>
      </c>
      <c r="E6" s="90">
        <v>46166.875</v>
      </c>
      <c r="F6" s="90">
        <v>46167.25</v>
      </c>
      <c r="G6" s="68">
        <v>7.6388888888888895E-2</v>
      </c>
      <c r="H6" s="86">
        <f t="shared" ref="H6:H7" si="6">(F6-E6)-G6</f>
        <v>0.2986111111111111</v>
      </c>
      <c r="I6" s="87">
        <f>_xlfn.XLOOKUP(B6,[1]BD!C:C,[1]BD!D:D)*L6</f>
        <v>1354.5</v>
      </c>
      <c r="J6" s="88">
        <f t="shared" ref="J6:J7" si="7">IFERROR(D6/I6,"")</f>
        <v>0.57585825027685489</v>
      </c>
      <c r="K6" s="100">
        <f t="shared" ref="K6:K7" si="8">H6*24*60</f>
        <v>429.99999999999994</v>
      </c>
      <c r="L6" s="101">
        <f t="shared" ref="L6:L7" si="9">K6/60</f>
        <v>7.1666666666666661</v>
      </c>
      <c r="M6" s="36" t="e">
        <f>IF([1]!Tabela5[[#This Row],[MAQUINA]]="","",TEXT([1]!Tabela5[[#This Row],[HORA
INÍCIO]],"MMMM"))</f>
        <v>#REF!</v>
      </c>
      <c r="N6" s="102" t="e">
        <f>IF([1]!Tabela5[[#This Row],[MAQUINA]]="","",DATE(YEAR(E6),MONTH(E6),DAY(E6)))</f>
        <v>#REF!</v>
      </c>
      <c r="O6" s="36" t="str">
        <f>IFERROR(LEFT([1]!Tabela5[[#This Row],[MAQUINA]],SEARCH(" ",[1]!Tabela5[[#This Row],[MAQUINA]],1)-1),"")</f>
        <v/>
      </c>
      <c r="P6" s="34"/>
      <c r="Q6" s="103">
        <f t="shared" ref="Q6:Q7" si="10">R6*24*60</f>
        <v>527.99999999999989</v>
      </c>
      <c r="R6" s="82">
        <v>0.36666666666666664</v>
      </c>
      <c r="S6" s="104">
        <v>7.8000000000000007</v>
      </c>
      <c r="T6" s="87">
        <f>_xlfn.XLOOKUP(B6,[1]BD!C:C,[1]BD!D:D)*S6</f>
        <v>1474.2</v>
      </c>
      <c r="U6" s="89">
        <f t="shared" ref="U6:U7" si="11">IFERROR(D6/T6,"")</f>
        <v>0.52910052910052907</v>
      </c>
    </row>
    <row r="7" spans="1:21" ht="20.25" customHeight="1" thickBot="1" x14ac:dyDescent="0.35">
      <c r="A7" s="53" t="s">
        <v>1167</v>
      </c>
      <c r="B7" s="55" t="s">
        <v>1104</v>
      </c>
      <c r="C7" s="20" t="s">
        <v>1191</v>
      </c>
      <c r="D7" s="91">
        <v>695</v>
      </c>
      <c r="E7" s="90">
        <v>46166.875</v>
      </c>
      <c r="F7" s="90">
        <v>46167.25</v>
      </c>
      <c r="G7" s="68">
        <v>7.6388888888888895E-2</v>
      </c>
      <c r="H7" s="86">
        <f t="shared" si="6"/>
        <v>0.2986111111111111</v>
      </c>
      <c r="I7" s="87">
        <f>_xlfn.XLOOKUP(B7,[1]BD!C:C,[1]BD!D:D)*L7</f>
        <v>1225.5</v>
      </c>
      <c r="J7" s="88">
        <f t="shared" si="7"/>
        <v>0.56711546307629535</v>
      </c>
      <c r="K7" s="100">
        <f t="shared" si="8"/>
        <v>429.99999999999994</v>
      </c>
      <c r="L7" s="101">
        <f t="shared" si="9"/>
        <v>7.1666666666666661</v>
      </c>
      <c r="M7" s="36" t="e">
        <f>IF([1]!Tabela5[[#This Row],[MAQUINA]]="","",TEXT([1]!Tabela5[[#This Row],[HORA
INÍCIO]],"MMMM"))</f>
        <v>#REF!</v>
      </c>
      <c r="N7" s="102" t="e">
        <f>IF([1]!Tabela5[[#This Row],[MAQUINA]]="","",DATE(YEAR(E7),MONTH(E7),DAY(E7)))</f>
        <v>#REF!</v>
      </c>
      <c r="O7" s="36" t="str">
        <f>IFERROR(LEFT([1]!Tabela5[[#This Row],[MAQUINA]],SEARCH(" ",[1]!Tabela5[[#This Row],[MAQUINA]],1)-1),"")</f>
        <v/>
      </c>
      <c r="P7" s="34"/>
      <c r="Q7" s="103">
        <f t="shared" si="10"/>
        <v>527.99999999999989</v>
      </c>
      <c r="R7" s="82">
        <v>0.36666666666666664</v>
      </c>
      <c r="S7" s="104">
        <v>7.8000000000000007</v>
      </c>
      <c r="T7" s="87">
        <f>_xlfn.XLOOKUP(B7,[1]BD!C:C,[1]BD!D:D)*S7</f>
        <v>1333.8000000000002</v>
      </c>
      <c r="U7" s="89">
        <f t="shared" si="11"/>
        <v>0.52106762633078418</v>
      </c>
    </row>
    <row r="8" spans="1:21" ht="20.25" customHeight="1" thickBot="1" x14ac:dyDescent="0.35">
      <c r="A8" s="53" t="s">
        <v>1161</v>
      </c>
      <c r="B8" s="55" t="s">
        <v>1126</v>
      </c>
      <c r="C8" s="20" t="s">
        <v>1192</v>
      </c>
      <c r="D8" s="91">
        <v>1648</v>
      </c>
      <c r="E8" s="90">
        <v>46166.875</v>
      </c>
      <c r="F8" s="90">
        <v>46167.25</v>
      </c>
      <c r="G8" s="68">
        <v>9.6527777777777782E-2</v>
      </c>
      <c r="H8" s="86">
        <f t="shared" si="0"/>
        <v>0.27847222222222223</v>
      </c>
      <c r="I8" s="87">
        <f>_xlfn.XLOOKUP(B8,[1]BD!C:C,[1]BD!D:D)*L8</f>
        <v>1804.5</v>
      </c>
      <c r="J8" s="88">
        <f t="shared" si="1"/>
        <v>0.91327237461900801</v>
      </c>
      <c r="K8" s="100">
        <f t="shared" si="2"/>
        <v>401</v>
      </c>
      <c r="L8" s="101">
        <f t="shared" si="3"/>
        <v>6.6833333333333336</v>
      </c>
      <c r="M8" s="36" t="e">
        <f>IF([1]!Tabela5[[#This Row],[MAQUINA]]="","",TEXT([1]!Tabela5[[#This Row],[HORA
INÍCIO]],"MMMM"))</f>
        <v>#REF!</v>
      </c>
      <c r="N8" s="102" t="e">
        <f>IF([1]!Tabela5[[#This Row],[MAQUINA]]="","",DATE(YEAR(E8),MONTH(E8),DAY(E8)))</f>
        <v>#REF!</v>
      </c>
      <c r="O8" s="36" t="str">
        <f>IFERROR(LEFT([1]!Tabela5[[#This Row],[MAQUINA]],SEARCH(" ",[1]!Tabela5[[#This Row],[MAQUINA]],1)-1),"")</f>
        <v/>
      </c>
      <c r="P8" s="34"/>
      <c r="Q8" s="103">
        <f t="shared" si="4"/>
        <v>527.99999999999989</v>
      </c>
      <c r="R8" s="82">
        <v>0.36666666666666664</v>
      </c>
      <c r="S8" s="104">
        <v>7.8000000000000007</v>
      </c>
      <c r="T8" s="87">
        <f>_xlfn.XLOOKUP(B8,[1]BD!C:C,[1]BD!D:D)*S8</f>
        <v>2106</v>
      </c>
      <c r="U8" s="89">
        <f t="shared" si="5"/>
        <v>0.7825261158594492</v>
      </c>
    </row>
    <row r="9" spans="1:21" ht="20.25" customHeight="1" thickBot="1" x14ac:dyDescent="0.35">
      <c r="A9" s="53" t="s">
        <v>1162</v>
      </c>
      <c r="B9" s="55" t="s">
        <v>1103</v>
      </c>
      <c r="C9" s="20" t="s">
        <v>1194</v>
      </c>
      <c r="D9" s="91">
        <v>920</v>
      </c>
      <c r="E9" s="90">
        <v>46166.875</v>
      </c>
      <c r="F9" s="90">
        <v>46167.25</v>
      </c>
      <c r="G9" s="68">
        <v>8.1250000000000003E-2</v>
      </c>
      <c r="H9" s="86">
        <f t="shared" ref="H9" si="12">(F9-E9)-G9</f>
        <v>0.29375000000000001</v>
      </c>
      <c r="I9" s="87">
        <f>_xlfn.XLOOKUP(B9,[1]BD!C:C,[1]BD!D:D)*L9</f>
        <v>789.60000000000014</v>
      </c>
      <c r="J9" s="88">
        <f t="shared" ref="J9" si="13">IFERROR(D9/I9,"")</f>
        <v>1.1651469098277607</v>
      </c>
      <c r="K9" s="100">
        <f t="shared" ref="K9" si="14">H9*24*60</f>
        <v>423.00000000000006</v>
      </c>
      <c r="L9" s="101">
        <f t="shared" si="3"/>
        <v>7.0500000000000007</v>
      </c>
      <c r="M9" s="36" t="e">
        <f>IF([1]!Tabela5[[#This Row],[MAQUINA]]="","",TEXT([1]!Tabela5[[#This Row],[HORA
INÍCIO]],"MMMM"))</f>
        <v>#REF!</v>
      </c>
      <c r="N9" s="102" t="e">
        <f>IF([1]!Tabela5[[#This Row],[MAQUINA]]="","",DATE(YEAR(E9),MONTH(E9),DAY(E9)))</f>
        <v>#REF!</v>
      </c>
      <c r="O9" s="36" t="str">
        <f>IFERROR(LEFT([1]!Tabela5[[#This Row],[MAQUINA]],SEARCH(" ",[1]!Tabela5[[#This Row],[MAQUINA]],1)-1),"")</f>
        <v/>
      </c>
      <c r="P9" s="34"/>
      <c r="Q9" s="103">
        <f t="shared" si="4"/>
        <v>527.99999999999989</v>
      </c>
      <c r="R9" s="82">
        <v>0.36666666666666664</v>
      </c>
      <c r="S9" s="104">
        <v>7.8000000000000007</v>
      </c>
      <c r="T9" s="87">
        <f>_xlfn.XLOOKUP(B9,[1]BD!C:C,[1]BD!D:D)*S9</f>
        <v>873.60000000000014</v>
      </c>
      <c r="U9" s="89">
        <f t="shared" ref="U9" si="15">IFERROR(D9/T9,"")</f>
        <v>1.0531135531135529</v>
      </c>
    </row>
    <row r="10" spans="1:21" ht="20.25" customHeight="1" x14ac:dyDescent="0.3">
      <c r="A10" s="53" t="s">
        <v>1165</v>
      </c>
      <c r="B10" s="55" t="s">
        <v>1094</v>
      </c>
      <c r="C10" s="20" t="s">
        <v>1355</v>
      </c>
      <c r="D10" s="91">
        <v>696</v>
      </c>
      <c r="E10" s="90">
        <v>46166.875</v>
      </c>
      <c r="F10" s="90">
        <v>46167.25</v>
      </c>
      <c r="G10" s="68">
        <v>7.7083333333333337E-2</v>
      </c>
      <c r="H10" s="86">
        <f t="shared" si="0"/>
        <v>0.29791666666666666</v>
      </c>
      <c r="I10" s="87">
        <f>_xlfn.XLOOKUP(B10,[1]BD!C:C,[1]BD!D:D)*L10</f>
        <v>629.20000000000005</v>
      </c>
      <c r="J10" s="88">
        <f t="shared" si="1"/>
        <v>1.1061665607120152</v>
      </c>
      <c r="K10" s="100">
        <f t="shared" si="2"/>
        <v>429</v>
      </c>
      <c r="L10" s="101">
        <f t="shared" si="3"/>
        <v>7.15</v>
      </c>
      <c r="M10" s="36" t="e">
        <f>IF([1]!Tabela5[[#This Row],[MAQUINA]]="","",TEXT([1]!Tabela5[[#This Row],[HORA
INÍCIO]],"MMMM"))</f>
        <v>#REF!</v>
      </c>
      <c r="N10" s="102" t="e">
        <f>IF([1]!Tabela5[[#This Row],[MAQUINA]]="","",DATE(YEAR(E10),MONTH(E10),DAY(E10)))</f>
        <v>#REF!</v>
      </c>
      <c r="O10" s="36" t="str">
        <f>IFERROR(LEFT([1]!Tabela5[[#This Row],[MAQUINA]],SEARCH(" ",[1]!Tabela5[[#This Row],[MAQUINA]],1)-1),"")</f>
        <v/>
      </c>
      <c r="P10" s="34"/>
      <c r="Q10" s="103">
        <f t="shared" si="4"/>
        <v>527.99999999999989</v>
      </c>
      <c r="R10" s="82">
        <v>0.36666666666666664</v>
      </c>
      <c r="S10" s="104">
        <v>7.8000000000000007</v>
      </c>
      <c r="T10" s="87">
        <f>_xlfn.XLOOKUP(B10,[1]BD!C:C,[1]BD!D:D)*S10</f>
        <v>686.40000000000009</v>
      </c>
      <c r="U10" s="89">
        <f t="shared" si="5"/>
        <v>1.013986013986014</v>
      </c>
    </row>
    <row r="11" spans="1:21" ht="15.75" thickBot="1" x14ac:dyDescent="0.3">
      <c r="A11" s="69"/>
      <c r="B11" s="69"/>
      <c r="C11" s="92"/>
      <c r="D11" s="93"/>
      <c r="E11" s="92"/>
      <c r="F11" s="92"/>
      <c r="G11" s="92"/>
      <c r="H11" s="69">
        <f t="shared" si="0"/>
        <v>0</v>
      </c>
      <c r="I11" s="118">
        <f>_xlfn.XLOOKUP(B11,[1]BD!C:C,[1]BD!D:D)*L11</f>
        <v>0</v>
      </c>
      <c r="J11" s="69" t="str">
        <f t="shared" si="1"/>
        <v/>
      </c>
      <c r="K11" s="69">
        <f t="shared" si="2"/>
        <v>0</v>
      </c>
      <c r="L11" s="69">
        <f t="shared" si="3"/>
        <v>0</v>
      </c>
      <c r="M11" s="69" t="e">
        <f>IF([1]!Tabela5[[#This Row],[MAQUINA]]="","",TEXT([1]!Tabela5[[#This Row],[HORA
INÍCIO]],"MMMM"))</f>
        <v>#REF!</v>
      </c>
      <c r="N11" s="119" t="e">
        <f>IF([1]!Tabela5[[#This Row],[MAQUINA]]="","",DATE(YEAR(E11),MONTH(E11),DAY(E11)))</f>
        <v>#REF!</v>
      </c>
      <c r="O11" s="69" t="str">
        <f>IFERROR(LEFT([1]!Tabela5[[#This Row],[MAQUINA]],SEARCH(" ",[1]!Tabela5[[#This Row],[MAQUINA]],1)-1),"")</f>
        <v/>
      </c>
      <c r="P11" s="69"/>
      <c r="Q11" s="69">
        <f t="shared" si="4"/>
        <v>0</v>
      </c>
      <c r="R11" s="69"/>
      <c r="S11" s="69">
        <f t="shared" ref="S11:S31" si="16">Q11/60</f>
        <v>0</v>
      </c>
      <c r="T11" s="118">
        <f>_xlfn.XLOOKUP(B11,[1]BD!C:C,[1]BD!D:D)*S11</f>
        <v>0</v>
      </c>
      <c r="U11" s="69" t="str">
        <f t="shared" si="5"/>
        <v/>
      </c>
    </row>
    <row r="12" spans="1:21" ht="19.5" thickBot="1" x14ac:dyDescent="0.35">
      <c r="A12" s="111" t="s">
        <v>1168</v>
      </c>
      <c r="B12" s="66" t="s">
        <v>1099</v>
      </c>
      <c r="C12" s="63" t="s">
        <v>1370</v>
      </c>
      <c r="D12" s="67">
        <v>96</v>
      </c>
      <c r="E12" s="90">
        <v>46167.25</v>
      </c>
      <c r="F12" s="90">
        <v>46167.291666666664</v>
      </c>
      <c r="G12" s="68">
        <v>2.7777777777777776E-2</v>
      </c>
      <c r="H12" s="94">
        <f t="shared" si="0"/>
        <v>1.3888888886463571E-2</v>
      </c>
      <c r="I12" s="83">
        <f>_xlfn.XLOOKUP(B12,[1]BD!C:C,[1]BD!D:D)*L12</f>
        <v>94.666666650135696</v>
      </c>
      <c r="J12" s="85">
        <f t="shared" si="1"/>
        <v>1.0140845072193359</v>
      </c>
      <c r="K12" s="95">
        <f t="shared" si="2"/>
        <v>19.999999996507544</v>
      </c>
      <c r="L12" s="96">
        <f t="shared" si="3"/>
        <v>0.33333333327512571</v>
      </c>
      <c r="M12" s="97" t="e">
        <f>IF([1]!Tabela5[[#This Row],[MAQUINA]]="","",TEXT([1]!Tabela5[[#This Row],[HORA
INÍCIO]],"MMMM"))</f>
        <v>#REF!</v>
      </c>
      <c r="N12" s="98" t="e">
        <f>IF([1]!Tabela5[[#This Row],[MAQUINA]]="","",DATE(YEAR(E12),MONTH(E12),DAY(E12)))</f>
        <v>#REF!</v>
      </c>
      <c r="O12" s="97" t="str">
        <f>IFERROR(LEFT([1]!Tabela5[[#This Row],[MAQUINA]],SEARCH(" ",[1]!Tabela5[[#This Row],[MAQUINA]],1)-1),"")</f>
        <v/>
      </c>
      <c r="P12" s="99"/>
      <c r="Q12" s="113">
        <f t="shared" si="4"/>
        <v>527.99999999999989</v>
      </c>
      <c r="R12" s="112">
        <v>0.36666666666666664</v>
      </c>
      <c r="S12" s="114">
        <f t="shared" si="16"/>
        <v>8.7999999999999989</v>
      </c>
      <c r="T12" s="83">
        <f>_xlfn.XLOOKUP(B12,[1]BD!C:C,[1]BD!D:D)*S12</f>
        <v>2499.1999999999998</v>
      </c>
      <c r="U12" s="84">
        <f t="shared" si="5"/>
        <v>3.8412291933418698E-2</v>
      </c>
    </row>
    <row r="13" spans="1:21" ht="19.5" thickBot="1" x14ac:dyDescent="0.35">
      <c r="A13" s="111" t="s">
        <v>1168</v>
      </c>
      <c r="B13" s="66" t="s">
        <v>1107</v>
      </c>
      <c r="C13" s="63" t="s">
        <v>1370</v>
      </c>
      <c r="D13" s="67">
        <v>1183</v>
      </c>
      <c r="E13" s="90">
        <v>46167.291666666664</v>
      </c>
      <c r="F13" s="90">
        <v>46167.587500000001</v>
      </c>
      <c r="G13" s="68">
        <v>6.805555555555555E-2</v>
      </c>
      <c r="H13" s="94">
        <f t="shared" ref="H13:H14" si="17">(F13-E13)-G13</f>
        <v>0.22777777778165831</v>
      </c>
      <c r="I13" s="83">
        <f>_xlfn.XLOOKUP(B13,[1]BD!C:C,[1]BD!D:D)*L13</f>
        <v>0</v>
      </c>
      <c r="J13" s="85" t="str">
        <f t="shared" ref="J13:J14" si="18">IFERROR(D13/I13,"")</f>
        <v/>
      </c>
      <c r="K13" s="95">
        <f t="shared" ref="K13:K14" si="19">H13*24*60</f>
        <v>328.00000000558794</v>
      </c>
      <c r="L13" s="96">
        <f t="shared" ref="L13:L14" si="20">K13/60</f>
        <v>5.4666666667597985</v>
      </c>
      <c r="M13" s="97" t="e">
        <f>IF([1]!Tabela5[[#This Row],[MAQUINA]]="","",TEXT([1]!Tabela5[[#This Row],[HORA
INÍCIO]],"MMMM"))</f>
        <v>#REF!</v>
      </c>
      <c r="N13" s="98" t="e">
        <f>IF([1]!Tabela5[[#This Row],[MAQUINA]]="","",DATE(YEAR(E13),MONTH(E13),DAY(E13)))</f>
        <v>#REF!</v>
      </c>
      <c r="O13" s="97" t="str">
        <f>IFERROR(LEFT([1]!Tabela5[[#This Row],[MAQUINA]],SEARCH(" ",[1]!Tabela5[[#This Row],[MAQUINA]],1)-1),"")</f>
        <v/>
      </c>
      <c r="P13" s="99"/>
      <c r="Q13" s="113">
        <f t="shared" ref="Q13:Q14" si="21">R13*24*60</f>
        <v>527.99999999999989</v>
      </c>
      <c r="R13" s="112">
        <v>0.36666666666666664</v>
      </c>
      <c r="S13" s="114">
        <f t="shared" ref="S13:S14" si="22">Q13/60</f>
        <v>8.7999999999999989</v>
      </c>
      <c r="T13" s="83">
        <f>_xlfn.XLOOKUP(B13,[1]BD!C:C,[1]BD!D:D)*S13</f>
        <v>0</v>
      </c>
      <c r="U13" s="84" t="str">
        <f t="shared" ref="U13:U14" si="23">IFERROR(D13/T13,"")</f>
        <v/>
      </c>
    </row>
    <row r="14" spans="1:21" ht="19.5" thickBot="1" x14ac:dyDescent="0.35">
      <c r="A14" s="111" t="s">
        <v>1168</v>
      </c>
      <c r="B14" s="66" t="s">
        <v>1107</v>
      </c>
      <c r="C14" s="63" t="s">
        <v>1382</v>
      </c>
      <c r="D14" s="67">
        <v>300</v>
      </c>
      <c r="E14" s="90">
        <v>46167.587500000001</v>
      </c>
      <c r="F14" s="90">
        <v>46167.666666666664</v>
      </c>
      <c r="G14" s="68">
        <v>1.0416666666666666E-2</v>
      </c>
      <c r="H14" s="94">
        <f t="shared" si="17"/>
        <v>6.8749999996119485E-2</v>
      </c>
      <c r="I14" s="83">
        <f>_xlfn.XLOOKUP(B14,[1]BD!C:C,[1]BD!D:D)*L14</f>
        <v>0</v>
      </c>
      <c r="J14" s="85" t="str">
        <f t="shared" si="18"/>
        <v/>
      </c>
      <c r="K14" s="95">
        <f t="shared" si="19"/>
        <v>98.999999994412065</v>
      </c>
      <c r="L14" s="96">
        <f t="shared" si="20"/>
        <v>1.6499999999068677</v>
      </c>
      <c r="M14" s="97" t="e">
        <f>IF([1]!Tabela5[[#This Row],[MAQUINA]]="","",TEXT([1]!Tabela5[[#This Row],[HORA
INÍCIO]],"MMMM"))</f>
        <v>#REF!</v>
      </c>
      <c r="N14" s="98" t="e">
        <f>IF([1]!Tabela5[[#This Row],[MAQUINA]]="","",DATE(YEAR(E14),MONTH(E14),DAY(E14)))</f>
        <v>#REF!</v>
      </c>
      <c r="O14" s="97" t="str">
        <f>IFERROR(LEFT([1]!Tabela5[[#This Row],[MAQUINA]],SEARCH(" ",[1]!Tabela5[[#This Row],[MAQUINA]],1)-1),"")</f>
        <v/>
      </c>
      <c r="P14" s="99"/>
      <c r="Q14" s="113">
        <f t="shared" si="21"/>
        <v>527.99999999999989</v>
      </c>
      <c r="R14" s="112">
        <v>0.36666666666666664</v>
      </c>
      <c r="S14" s="114">
        <f t="shared" si="22"/>
        <v>8.7999999999999989</v>
      </c>
      <c r="T14" s="83">
        <f>_xlfn.XLOOKUP(B14,[1]BD!C:C,[1]BD!D:D)*S14</f>
        <v>0</v>
      </c>
      <c r="U14" s="84" t="str">
        <f t="shared" si="23"/>
        <v/>
      </c>
    </row>
    <row r="15" spans="1:21" ht="19.5" thickBot="1" x14ac:dyDescent="0.35">
      <c r="A15" s="53" t="s">
        <v>1169</v>
      </c>
      <c r="B15" s="66" t="s">
        <v>1088</v>
      </c>
      <c r="C15" s="63" t="s">
        <v>1152</v>
      </c>
      <c r="D15" s="120">
        <v>1845</v>
      </c>
      <c r="E15" s="90">
        <v>46167.25</v>
      </c>
      <c r="F15" s="90">
        <v>46167.666666666664</v>
      </c>
      <c r="G15" s="42">
        <v>0.11041666666666666</v>
      </c>
      <c r="H15" s="86">
        <f t="shared" si="0"/>
        <v>0.30624999999757468</v>
      </c>
      <c r="I15" s="87">
        <f>_xlfn.XLOOKUP(B15,[1]BD!C:C,[1]BD!D:D)*L15</f>
        <v>0</v>
      </c>
      <c r="J15" s="88" t="str">
        <f t="shared" si="1"/>
        <v/>
      </c>
      <c r="K15" s="100">
        <f t="shared" si="2"/>
        <v>440.99999999650754</v>
      </c>
      <c r="L15" s="101">
        <f t="shared" si="3"/>
        <v>7.349999999941792</v>
      </c>
      <c r="M15" s="36" t="e">
        <f>IF([1]!Tabela5[[#This Row],[MAQUINA]]="","",TEXT([1]!Tabela5[[#This Row],[HORA
INÍCIO]],"MMMM"))</f>
        <v>#REF!</v>
      </c>
      <c r="N15" s="102" t="e">
        <f>IF([1]!Tabela5[[#This Row],[MAQUINA]]="","",DATE(YEAR(E15),MONTH(E15),DAY(E15)))</f>
        <v>#REF!</v>
      </c>
      <c r="O15" s="36" t="str">
        <f>IFERROR(LEFT([1]!Tabela5[[#This Row],[MAQUINA]],SEARCH(" ",[1]!Tabela5[[#This Row],[MAQUINA]],1)-1),"")</f>
        <v/>
      </c>
      <c r="P15" s="34"/>
      <c r="Q15" s="103">
        <f t="shared" si="4"/>
        <v>527.99999999999989</v>
      </c>
      <c r="R15" s="82">
        <v>0.36666666666666664</v>
      </c>
      <c r="S15" s="104">
        <f t="shared" si="16"/>
        <v>8.7999999999999989</v>
      </c>
      <c r="T15" s="87">
        <f>_xlfn.XLOOKUP(B15,[1]BD!C:C,[1]BD!D:D)*S15</f>
        <v>0</v>
      </c>
      <c r="U15" s="89" t="str">
        <f t="shared" si="5"/>
        <v/>
      </c>
    </row>
    <row r="16" spans="1:21" ht="19.5" thickBot="1" x14ac:dyDescent="0.35">
      <c r="A16" s="53" t="s">
        <v>1157</v>
      </c>
      <c r="B16" s="55" t="s">
        <v>1106</v>
      </c>
      <c r="C16" s="109" t="s">
        <v>1367</v>
      </c>
      <c r="D16" s="91">
        <v>604</v>
      </c>
      <c r="E16" s="90">
        <v>46167.25</v>
      </c>
      <c r="F16" s="90">
        <v>46167.451388888891</v>
      </c>
      <c r="G16" s="42">
        <v>2.2222222222222223E-2</v>
      </c>
      <c r="H16" s="86">
        <f t="shared" ref="H16:H17" si="24">(F16-E16)-G16</f>
        <v>0.17916666666828354</v>
      </c>
      <c r="I16" s="87">
        <f>_xlfn.XLOOKUP(B16,[1]BD!C:C,[1]BD!D:D)*L16</f>
        <v>774.00000000698492</v>
      </c>
      <c r="J16" s="88">
        <f t="shared" ref="J16:J17" si="25">IFERROR(D16/I16,"")</f>
        <v>0.78036175709890088</v>
      </c>
      <c r="K16" s="103">
        <f t="shared" ref="K16:K17" si="26">H16*24*60</f>
        <v>258.00000000232831</v>
      </c>
      <c r="L16" s="104">
        <f t="shared" ref="L16:L17" si="27">K16/60</f>
        <v>4.3000000000388052</v>
      </c>
      <c r="M16" s="115" t="e">
        <f>IF([1]!Tabela5[[#This Row],[MAQUINA]]="","",TEXT([1]!Tabela5[[#This Row],[HORA
INÍCIO]],"MMMM"))</f>
        <v>#REF!</v>
      </c>
      <c r="N16" s="116" t="e">
        <f>IF([1]!Tabela5[[#This Row],[MAQUINA]]="","",DATE(YEAR(E16),MONTH(E16),DAY(E16)))</f>
        <v>#REF!</v>
      </c>
      <c r="O16" s="115" t="str">
        <f>IFERROR(LEFT([1]!Tabela5[[#This Row],[MAQUINA]],SEARCH(" ",[1]!Tabela5[[#This Row],[MAQUINA]],1)-1),"")</f>
        <v/>
      </c>
      <c r="P16" s="117"/>
      <c r="Q16" s="103">
        <f t="shared" ref="Q16:Q17" si="28">R16*24*60</f>
        <v>527.99999999999989</v>
      </c>
      <c r="R16" s="82">
        <v>0.36666666666666664</v>
      </c>
      <c r="S16" s="104">
        <f t="shared" ref="S16:S17" si="29">Q16/60</f>
        <v>8.7999999999999989</v>
      </c>
      <c r="T16" s="87">
        <f>_xlfn.XLOOKUP(B16,[1]BD!C:C,[1]BD!D:D)*S16</f>
        <v>1583.9999999999998</v>
      </c>
      <c r="U16" s="89">
        <f t="shared" ref="U16:U17" si="30">IFERROR(D16/T16,"")</f>
        <v>0.38131313131313138</v>
      </c>
    </row>
    <row r="17" spans="1:21" ht="19.5" thickBot="1" x14ac:dyDescent="0.35">
      <c r="A17" s="53" t="s">
        <v>1157</v>
      </c>
      <c r="B17" s="55" t="s">
        <v>1133</v>
      </c>
      <c r="C17" s="109" t="s">
        <v>1367</v>
      </c>
      <c r="D17" s="91">
        <v>109</v>
      </c>
      <c r="E17" s="90">
        <v>46167.451388888891</v>
      </c>
      <c r="F17" s="90">
        <v>46167.666666666664</v>
      </c>
      <c r="G17" s="42">
        <v>0.10069444444444445</v>
      </c>
      <c r="H17" s="86">
        <f t="shared" si="24"/>
        <v>0.11458333332929113</v>
      </c>
      <c r="I17" s="87">
        <f>_xlfn.XLOOKUP(B17,[1]BD!C:C,[1]BD!D:D)*L17</f>
        <v>494.99999998253764</v>
      </c>
      <c r="J17" s="88">
        <f t="shared" si="25"/>
        <v>0.22020202020978838</v>
      </c>
      <c r="K17" s="103">
        <f t="shared" si="26"/>
        <v>164.99999999417921</v>
      </c>
      <c r="L17" s="104">
        <f t="shared" si="27"/>
        <v>2.7499999999029869</v>
      </c>
      <c r="M17" s="115" t="e">
        <f>IF([1]!Tabela5[[#This Row],[MAQUINA]]="","",TEXT([1]!Tabela5[[#This Row],[HORA
INÍCIO]],"MMMM"))</f>
        <v>#REF!</v>
      </c>
      <c r="N17" s="116" t="e">
        <f>IF([1]!Tabela5[[#This Row],[MAQUINA]]="","",DATE(YEAR(E17),MONTH(E17),DAY(E17)))</f>
        <v>#REF!</v>
      </c>
      <c r="O17" s="115" t="str">
        <f>IFERROR(LEFT([1]!Tabela5[[#This Row],[MAQUINA]],SEARCH(" ",[1]!Tabela5[[#This Row],[MAQUINA]],1)-1),"")</f>
        <v/>
      </c>
      <c r="P17" s="117"/>
      <c r="Q17" s="103">
        <f t="shared" si="28"/>
        <v>527.99999999999989</v>
      </c>
      <c r="R17" s="82">
        <v>0.36666666666666664</v>
      </c>
      <c r="S17" s="104">
        <f t="shared" si="29"/>
        <v>8.7999999999999989</v>
      </c>
      <c r="T17" s="87">
        <f>_xlfn.XLOOKUP(B17,[1]BD!C:C,[1]BD!D:D)*S17</f>
        <v>1583.9999999999998</v>
      </c>
      <c r="U17" s="89">
        <f t="shared" si="30"/>
        <v>6.8813131313131326E-2</v>
      </c>
    </row>
    <row r="18" spans="1:21" ht="19.5" thickBot="1" x14ac:dyDescent="0.35">
      <c r="A18" s="53" t="s">
        <v>1158</v>
      </c>
      <c r="B18" s="55" t="s">
        <v>1124</v>
      </c>
      <c r="C18" s="109" t="s">
        <v>1368</v>
      </c>
      <c r="D18" s="91">
        <v>1250</v>
      </c>
      <c r="E18" s="90">
        <v>46167.25</v>
      </c>
      <c r="F18" s="90">
        <v>46167.666666666664</v>
      </c>
      <c r="G18" s="42">
        <v>6.6666666666666666E-2</v>
      </c>
      <c r="H18" s="86">
        <f t="shared" si="0"/>
        <v>0.3499999999975747</v>
      </c>
      <c r="I18" s="87">
        <f>_xlfn.XLOOKUP(B18,[1]BD!C:C,[1]BD!D:D)*L18</f>
        <v>1511.9999999895226</v>
      </c>
      <c r="J18" s="88">
        <f t="shared" si="1"/>
        <v>0.82671957672530549</v>
      </c>
      <c r="K18" s="103">
        <f t="shared" si="2"/>
        <v>503.99999999650754</v>
      </c>
      <c r="L18" s="104">
        <f t="shared" si="3"/>
        <v>8.3999999999417927</v>
      </c>
      <c r="M18" s="115" t="e">
        <f>IF([1]!Tabela5[[#This Row],[MAQUINA]]="","",TEXT([1]!Tabela5[[#This Row],[HORA
INÍCIO]],"MMMM"))</f>
        <v>#REF!</v>
      </c>
      <c r="N18" s="116" t="e">
        <f>IF([1]!Tabela5[[#This Row],[MAQUINA]]="","",DATE(YEAR(E18),MONTH(E18),DAY(E18)))</f>
        <v>#REF!</v>
      </c>
      <c r="O18" s="115" t="str">
        <f>IFERROR(LEFT([1]!Tabela5[[#This Row],[MAQUINA]],SEARCH(" ",[1]!Tabela5[[#This Row],[MAQUINA]],1)-1),"")</f>
        <v/>
      </c>
      <c r="P18" s="117"/>
      <c r="Q18" s="103">
        <f t="shared" si="4"/>
        <v>527.99999999999989</v>
      </c>
      <c r="R18" s="82">
        <v>0.36666666666666664</v>
      </c>
      <c r="S18" s="104">
        <f t="shared" si="16"/>
        <v>8.7999999999999989</v>
      </c>
      <c r="T18" s="87">
        <f>_xlfn.XLOOKUP(B18,[1]BD!C:C,[1]BD!D:D)*S18</f>
        <v>1583.9999999999998</v>
      </c>
      <c r="U18" s="89">
        <f t="shared" si="5"/>
        <v>0.78914141414141425</v>
      </c>
    </row>
    <row r="19" spans="1:21" ht="19.5" thickBot="1" x14ac:dyDescent="0.35">
      <c r="A19" s="53" t="s">
        <v>1159</v>
      </c>
      <c r="B19" s="55" t="s">
        <v>1137</v>
      </c>
      <c r="C19" s="109" t="s">
        <v>1356</v>
      </c>
      <c r="D19" s="91">
        <v>2000</v>
      </c>
      <c r="E19" s="90">
        <v>46167.25</v>
      </c>
      <c r="F19" s="90">
        <v>46167.708333333336</v>
      </c>
      <c r="G19" s="42">
        <v>7.7083333333333337E-2</v>
      </c>
      <c r="H19" s="86">
        <f t="shared" si="0"/>
        <v>0.38125000000242532</v>
      </c>
      <c r="I19" s="87">
        <f>_xlfn.XLOOKUP(B19,[1]BD!C:C,[1]BD!D:D)*L19</f>
        <v>1317.600000008382</v>
      </c>
      <c r="J19" s="88">
        <f t="shared" si="1"/>
        <v>1.5179113539672715</v>
      </c>
      <c r="K19" s="103">
        <f t="shared" si="2"/>
        <v>549.00000000349246</v>
      </c>
      <c r="L19" s="104">
        <f t="shared" si="3"/>
        <v>9.150000000058208</v>
      </c>
      <c r="M19" s="115" t="e">
        <f>IF([1]!Tabela5[[#This Row],[MAQUINA]]="","",TEXT([1]!Tabela5[[#This Row],[HORA
INÍCIO]],"MMMM"))</f>
        <v>#REF!</v>
      </c>
      <c r="N19" s="116" t="e">
        <f>IF([1]!Tabela5[[#This Row],[MAQUINA]]="","",DATE(YEAR(E19),MONTH(E19),DAY(E19)))</f>
        <v>#REF!</v>
      </c>
      <c r="O19" s="115" t="str">
        <f>IFERROR(LEFT([1]!Tabela5[[#This Row],[MAQUINA]],SEARCH(" ",[1]!Tabela5[[#This Row],[MAQUINA]],1)-1),"")</f>
        <v/>
      </c>
      <c r="P19" s="117"/>
      <c r="Q19" s="103">
        <f t="shared" si="4"/>
        <v>527.99999999999989</v>
      </c>
      <c r="R19" s="82">
        <v>0.36666666666666664</v>
      </c>
      <c r="S19" s="104">
        <f t="shared" si="16"/>
        <v>8.7999999999999989</v>
      </c>
      <c r="T19" s="87">
        <f>_xlfn.XLOOKUP(B19,[1]BD!C:C,[1]BD!D:D)*S19</f>
        <v>1267.1999999999998</v>
      </c>
      <c r="U19" s="89">
        <f t="shared" si="5"/>
        <v>1.5782828282828285</v>
      </c>
    </row>
    <row r="20" spans="1:21" ht="19.5" thickBot="1" x14ac:dyDescent="0.35">
      <c r="A20" s="53" t="s">
        <v>1166</v>
      </c>
      <c r="B20" s="55" t="s">
        <v>1104</v>
      </c>
      <c r="C20" s="109" t="s">
        <v>1147</v>
      </c>
      <c r="D20" s="110">
        <v>414</v>
      </c>
      <c r="E20" s="90">
        <v>46167.25</v>
      </c>
      <c r="F20" s="90">
        <v>46167.445833333331</v>
      </c>
      <c r="G20" s="42">
        <v>5.1388888888888887E-2</v>
      </c>
      <c r="H20" s="86">
        <f t="shared" ref="H20:H22" si="31">(F20-E20)-G20</f>
        <v>0.14444444444250421</v>
      </c>
      <c r="I20" s="87">
        <f>_xlfn.XLOOKUP(B20,[1]BD!C:C,[1]BD!D:D)*L20</f>
        <v>592.79999999203721</v>
      </c>
      <c r="J20" s="88">
        <f t="shared" ref="J20:J22" si="32">IFERROR(D20/I20,"")</f>
        <v>0.69838056681100047</v>
      </c>
      <c r="K20" s="100">
        <f t="shared" ref="K20:K22" si="33">H20*24*60</f>
        <v>207.99999999720606</v>
      </c>
      <c r="L20" s="101">
        <f t="shared" ref="L20:L22" si="34">K20/60</f>
        <v>3.4666666666201009</v>
      </c>
      <c r="M20" s="36" t="e">
        <f>IF([1]!Tabela5[[#This Row],[MAQUINA]]="","",TEXT([1]!Tabela5[[#This Row],[HORA
INÍCIO]],"MMMM"))</f>
        <v>#REF!</v>
      </c>
      <c r="N20" s="102" t="e">
        <f>IF([1]!Tabela5[[#This Row],[MAQUINA]]="","",DATE(YEAR(E20),MONTH(E20),DAY(E20)))</f>
        <v>#REF!</v>
      </c>
      <c r="O20" s="36" t="str">
        <f>IFERROR(LEFT([1]!Tabela5[[#This Row],[MAQUINA]],SEARCH(" ",[1]!Tabela5[[#This Row],[MAQUINA]],1)-1),"")</f>
        <v/>
      </c>
      <c r="P20" s="34"/>
      <c r="Q20" s="103">
        <f t="shared" ref="Q20:Q22" si="35">R20*24*60</f>
        <v>527.99999999999989</v>
      </c>
      <c r="R20" s="82">
        <v>0.36666666666666664</v>
      </c>
      <c r="S20" s="104">
        <f t="shared" ref="S20:S22" si="36">Q20/60</f>
        <v>8.7999999999999989</v>
      </c>
      <c r="T20" s="87">
        <f>_xlfn.XLOOKUP(B20,[1]BD!C:C,[1]BD!D:D)*S20</f>
        <v>1504.7999999999997</v>
      </c>
      <c r="U20" s="89">
        <f t="shared" ref="U20:U22" si="37">IFERROR(D20/T20,"")</f>
        <v>0.27511961722488043</v>
      </c>
    </row>
    <row r="21" spans="1:21" ht="19.5" thickBot="1" x14ac:dyDescent="0.35">
      <c r="A21" s="53" t="s">
        <v>1166</v>
      </c>
      <c r="B21" s="55" t="s">
        <v>1090</v>
      </c>
      <c r="C21" s="109" t="s">
        <v>1147</v>
      </c>
      <c r="D21" s="110">
        <v>320</v>
      </c>
      <c r="E21" s="90">
        <v>46167.445833333331</v>
      </c>
      <c r="F21" s="90">
        <v>46167.666666666664</v>
      </c>
      <c r="G21" s="42">
        <v>5.5555555555555552E-2</v>
      </c>
      <c r="H21" s="86">
        <f t="shared" si="31"/>
        <v>0.16527777777729272</v>
      </c>
      <c r="I21" s="87">
        <f>_xlfn.XLOOKUP(B21,[1]BD!C:C,[1]BD!D:D)*L21</f>
        <v>396.66666666550253</v>
      </c>
      <c r="J21" s="88">
        <f t="shared" si="32"/>
        <v>0.80672268907799782</v>
      </c>
      <c r="K21" s="100">
        <f t="shared" si="33"/>
        <v>237.99999999930154</v>
      </c>
      <c r="L21" s="101">
        <f t="shared" si="34"/>
        <v>3.9666666666550254</v>
      </c>
      <c r="M21" s="36" t="e">
        <f>IF([1]!Tabela5[[#This Row],[MAQUINA]]="","",TEXT([1]!Tabela5[[#This Row],[HORA
INÍCIO]],"MMMM"))</f>
        <v>#REF!</v>
      </c>
      <c r="N21" s="102" t="e">
        <f>IF([1]!Tabela5[[#This Row],[MAQUINA]]="","",DATE(YEAR(E21),MONTH(E21),DAY(E21)))</f>
        <v>#REF!</v>
      </c>
      <c r="O21" s="36" t="str">
        <f>IFERROR(LEFT([1]!Tabela5[[#This Row],[MAQUINA]],SEARCH(" ",[1]!Tabela5[[#This Row],[MAQUINA]],1)-1),"")</f>
        <v/>
      </c>
      <c r="P21" s="34"/>
      <c r="Q21" s="103">
        <f t="shared" si="35"/>
        <v>527.99999999999989</v>
      </c>
      <c r="R21" s="82">
        <v>0.36666666666666664</v>
      </c>
      <c r="S21" s="104">
        <f t="shared" si="36"/>
        <v>8.7999999999999989</v>
      </c>
      <c r="T21" s="87">
        <f>_xlfn.XLOOKUP(B21,[1]BD!C:C,[1]BD!D:D)*S21</f>
        <v>879.99999999999989</v>
      </c>
      <c r="U21" s="89">
        <f t="shared" si="37"/>
        <v>0.3636363636363637</v>
      </c>
    </row>
    <row r="22" spans="1:21" ht="19.5" thickBot="1" x14ac:dyDescent="0.35">
      <c r="A22" s="53" t="s">
        <v>1167</v>
      </c>
      <c r="B22" s="55" t="s">
        <v>1104</v>
      </c>
      <c r="C22" s="109" t="s">
        <v>1154</v>
      </c>
      <c r="D22" s="110">
        <v>390</v>
      </c>
      <c r="E22" s="90">
        <v>46167.25</v>
      </c>
      <c r="F22" s="90">
        <v>46167.395833333336</v>
      </c>
      <c r="G22" s="42">
        <v>4.1666666666666664E-2</v>
      </c>
      <c r="H22" s="86">
        <f t="shared" si="31"/>
        <v>0.104166666669092</v>
      </c>
      <c r="I22" s="87">
        <f>_xlfn.XLOOKUP(B22,[1]BD!C:C,[1]BD!D:D)*L22</f>
        <v>427.50000000995351</v>
      </c>
      <c r="J22" s="88">
        <f t="shared" si="32"/>
        <v>0.91228070173314524</v>
      </c>
      <c r="K22" s="100">
        <f t="shared" si="33"/>
        <v>150.00000000349246</v>
      </c>
      <c r="L22" s="101">
        <f t="shared" si="34"/>
        <v>2.5000000000582077</v>
      </c>
      <c r="M22" s="36" t="e">
        <f>IF([1]!Tabela5[[#This Row],[MAQUINA]]="","",TEXT([1]!Tabela5[[#This Row],[HORA
INÍCIO]],"MMMM"))</f>
        <v>#REF!</v>
      </c>
      <c r="N22" s="102" t="e">
        <f>IF([1]!Tabela5[[#This Row],[MAQUINA]]="","",DATE(YEAR(E22),MONTH(E22),DAY(E22)))</f>
        <v>#REF!</v>
      </c>
      <c r="O22" s="36" t="str">
        <f>IFERROR(LEFT([1]!Tabela5[[#This Row],[MAQUINA]],SEARCH(" ",[1]!Tabela5[[#This Row],[MAQUINA]],1)-1),"")</f>
        <v/>
      </c>
      <c r="P22" s="34"/>
      <c r="Q22" s="103">
        <f t="shared" si="35"/>
        <v>527.99999999999989</v>
      </c>
      <c r="R22" s="82">
        <v>0.36666666666666664</v>
      </c>
      <c r="S22" s="104">
        <f t="shared" si="36"/>
        <v>8.7999999999999989</v>
      </c>
      <c r="T22" s="87">
        <f>_xlfn.XLOOKUP(B22,[1]BD!C:C,[1]BD!D:D)*S22</f>
        <v>1504.7999999999997</v>
      </c>
      <c r="U22" s="89">
        <f t="shared" si="37"/>
        <v>0.25917065390749605</v>
      </c>
    </row>
    <row r="23" spans="1:21" ht="19.5" thickBot="1" x14ac:dyDescent="0.35">
      <c r="A23" s="53" t="s">
        <v>1167</v>
      </c>
      <c r="B23" s="55" t="s">
        <v>1090</v>
      </c>
      <c r="C23" s="109" t="s">
        <v>1154</v>
      </c>
      <c r="D23" s="110">
        <v>200</v>
      </c>
      <c r="E23" s="90">
        <v>46167.395833333336</v>
      </c>
      <c r="F23" s="90">
        <v>46167.666666666664</v>
      </c>
      <c r="G23" s="42">
        <v>0.14027777777777778</v>
      </c>
      <c r="H23" s="86">
        <f t="shared" si="0"/>
        <v>0.13055555555070492</v>
      </c>
      <c r="I23" s="87">
        <f>_xlfn.XLOOKUP(B23,[1]BD!C:C,[1]BD!D:D)*L23</f>
        <v>313.33333332169178</v>
      </c>
      <c r="J23" s="88">
        <f t="shared" si="1"/>
        <v>0.63829787236414082</v>
      </c>
      <c r="K23" s="100">
        <f t="shared" si="2"/>
        <v>187.99999999301508</v>
      </c>
      <c r="L23" s="101">
        <f t="shared" si="3"/>
        <v>3.133333333216918</v>
      </c>
      <c r="M23" s="36" t="e">
        <f>IF([1]!Tabela5[[#This Row],[MAQUINA]]="","",TEXT([1]!Tabela5[[#This Row],[HORA
INÍCIO]],"MMMM"))</f>
        <v>#REF!</v>
      </c>
      <c r="N23" s="102" t="e">
        <f>IF([1]!Tabela5[[#This Row],[MAQUINA]]="","",DATE(YEAR(E23),MONTH(E23),DAY(E23)))</f>
        <v>#REF!</v>
      </c>
      <c r="O23" s="36" t="str">
        <f>IFERROR(LEFT([1]!Tabela5[[#This Row],[MAQUINA]],SEARCH(" ",[1]!Tabela5[[#This Row],[MAQUINA]],1)-1),"")</f>
        <v/>
      </c>
      <c r="P23" s="34"/>
      <c r="Q23" s="103">
        <f t="shared" si="4"/>
        <v>527.99999999999989</v>
      </c>
      <c r="R23" s="82">
        <v>0.36666666666666664</v>
      </c>
      <c r="S23" s="104">
        <f t="shared" si="16"/>
        <v>8.7999999999999989</v>
      </c>
      <c r="T23" s="87">
        <f>_xlfn.XLOOKUP(B23,[1]BD!C:C,[1]BD!D:D)*S23</f>
        <v>879.99999999999989</v>
      </c>
      <c r="U23" s="89">
        <f t="shared" si="5"/>
        <v>0.22727272727272729</v>
      </c>
    </row>
    <row r="24" spans="1:21" ht="19.5" thickBot="1" x14ac:dyDescent="0.35">
      <c r="A24" s="53" t="s">
        <v>1161</v>
      </c>
      <c r="B24" s="55" t="s">
        <v>1126</v>
      </c>
      <c r="C24" s="109" t="s">
        <v>1155</v>
      </c>
      <c r="D24" s="110">
        <v>877</v>
      </c>
      <c r="E24" s="90">
        <v>46167.25</v>
      </c>
      <c r="F24" s="90">
        <v>46167.666666666664</v>
      </c>
      <c r="G24" s="42">
        <v>0.27013888888888887</v>
      </c>
      <c r="H24" s="86">
        <f t="shared" si="0"/>
        <v>0.14652777777535247</v>
      </c>
      <c r="I24" s="87">
        <f>_xlfn.XLOOKUP(B24,[1]BD!C:C,[1]BD!D:D)*L24</f>
        <v>949.49999998428405</v>
      </c>
      <c r="J24" s="88">
        <f t="shared" si="1"/>
        <v>0.92364402318537753</v>
      </c>
      <c r="K24" s="100">
        <f t="shared" si="2"/>
        <v>210.99999999650757</v>
      </c>
      <c r="L24" s="101">
        <f t="shared" si="3"/>
        <v>3.5166666666084594</v>
      </c>
      <c r="M24" s="36" t="e">
        <f>IF([1]!Tabela5[[#This Row],[MAQUINA]]="","",TEXT([1]!Tabela5[[#This Row],[HORA
INÍCIO]],"MMMM"))</f>
        <v>#REF!</v>
      </c>
      <c r="N24" s="102" t="e">
        <f>IF([1]!Tabela5[[#This Row],[MAQUINA]]="","",DATE(YEAR(E24),MONTH(E24),DAY(E24)))</f>
        <v>#REF!</v>
      </c>
      <c r="O24" s="36" t="str">
        <f>IFERROR(LEFT([1]!Tabela5[[#This Row],[MAQUINA]],SEARCH(" ",[1]!Tabela5[[#This Row],[MAQUINA]],1)-1),"")</f>
        <v/>
      </c>
      <c r="P24" s="34"/>
      <c r="Q24" s="103">
        <f t="shared" si="4"/>
        <v>527.99999999999989</v>
      </c>
      <c r="R24" s="82">
        <v>0.36666666666666664</v>
      </c>
      <c r="S24" s="104">
        <f t="shared" si="16"/>
        <v>8.7999999999999989</v>
      </c>
      <c r="T24" s="87">
        <f>_xlfn.XLOOKUP(B24,[1]BD!C:C,[1]BD!D:D)*S24</f>
        <v>2375.9999999999995</v>
      </c>
      <c r="U24" s="89">
        <f t="shared" si="5"/>
        <v>0.36910774410774416</v>
      </c>
    </row>
    <row r="25" spans="1:21" ht="19.5" thickBot="1" x14ac:dyDescent="0.35">
      <c r="A25" s="53" t="s">
        <v>1162</v>
      </c>
      <c r="B25" s="55" t="s">
        <v>1103</v>
      </c>
      <c r="C25" s="109" t="s">
        <v>1366</v>
      </c>
      <c r="D25" s="110">
        <v>812</v>
      </c>
      <c r="E25" s="90">
        <v>46167.25</v>
      </c>
      <c r="F25" s="90">
        <v>46167.666666666664</v>
      </c>
      <c r="G25" s="42">
        <v>8.0555555555555561E-2</v>
      </c>
      <c r="H25" s="86">
        <f t="shared" si="0"/>
        <v>0.3361111111086858</v>
      </c>
      <c r="I25" s="87">
        <f>_xlfn.XLOOKUP(B25,[1]BD!C:C,[1]BD!D:D)*L25</f>
        <v>903.46666666014744</v>
      </c>
      <c r="J25" s="88">
        <f t="shared" si="1"/>
        <v>0.89876033058499771</v>
      </c>
      <c r="K25" s="100">
        <f t="shared" si="2"/>
        <v>483.99999999650754</v>
      </c>
      <c r="L25" s="101">
        <f t="shared" si="3"/>
        <v>8.0666666666084588</v>
      </c>
      <c r="M25" s="36" t="e">
        <f>IF([1]!Tabela5[[#This Row],[MAQUINA]]="","",TEXT([1]!Tabela5[[#This Row],[HORA
INÍCIO]],"MMMM"))</f>
        <v>#REF!</v>
      </c>
      <c r="N25" s="102" t="e">
        <f>IF([1]!Tabela5[[#This Row],[MAQUINA]]="","",DATE(YEAR(E25),MONTH(E25),DAY(E25)))</f>
        <v>#REF!</v>
      </c>
      <c r="O25" s="36" t="str">
        <f>IFERROR(LEFT([1]!Tabela5[[#This Row],[MAQUINA]],SEARCH(" ",[1]!Tabela5[[#This Row],[MAQUINA]],1)-1),"")</f>
        <v/>
      </c>
      <c r="P25" s="34"/>
      <c r="Q25" s="103">
        <f t="shared" si="4"/>
        <v>527.99999999999989</v>
      </c>
      <c r="R25" s="82">
        <v>0.36666666666666664</v>
      </c>
      <c r="S25" s="104">
        <f t="shared" si="16"/>
        <v>8.7999999999999989</v>
      </c>
      <c r="T25" s="87">
        <f>_xlfn.XLOOKUP(B25,[1]BD!C:C,[1]BD!D:D)*S25</f>
        <v>985.59999999999991</v>
      </c>
      <c r="U25" s="89">
        <f t="shared" si="5"/>
        <v>0.82386363636363646</v>
      </c>
    </row>
    <row r="26" spans="1:21" ht="19.5" thickBot="1" x14ac:dyDescent="0.35">
      <c r="A26" s="53" t="s">
        <v>1163</v>
      </c>
      <c r="B26" s="55" t="s">
        <v>1134</v>
      </c>
      <c r="C26" s="109" t="s">
        <v>1156</v>
      </c>
      <c r="D26" s="110">
        <v>1087</v>
      </c>
      <c r="E26" s="90">
        <v>46167.25</v>
      </c>
      <c r="F26" s="90">
        <v>46167.666666666664</v>
      </c>
      <c r="G26" s="42">
        <v>9.7222222222222224E-2</v>
      </c>
      <c r="H26" s="86">
        <f t="shared" ref="H26" si="38">(F26-E26)-G26</f>
        <v>0.31944444444201914</v>
      </c>
      <c r="I26" s="87">
        <f>_xlfn.XLOOKUP(B26,[1]BD!C:C,[1]BD!D:D)*L26</f>
        <v>1073.3333333251844</v>
      </c>
      <c r="J26" s="88">
        <f t="shared" ref="J26" si="39">IFERROR(D26/I26,"")</f>
        <v>1.0127329192623473</v>
      </c>
      <c r="K26" s="100">
        <f t="shared" ref="K26" si="40">H26*24*60</f>
        <v>459.99999999650754</v>
      </c>
      <c r="L26" s="101">
        <f t="shared" ref="L26" si="41">K26/60</f>
        <v>7.6666666666084593</v>
      </c>
      <c r="M26" s="36" t="e">
        <f>IF([1]!Tabela5[[#This Row],[MAQUINA]]="","",TEXT([1]!Tabela5[[#This Row],[HORA
INÍCIO]],"MMMM"))</f>
        <v>#REF!</v>
      </c>
      <c r="N26" s="102" t="e">
        <f>IF([1]!Tabela5[[#This Row],[MAQUINA]]="","",DATE(YEAR(E26),MONTH(E26),DAY(E26)))</f>
        <v>#REF!</v>
      </c>
      <c r="O26" s="36" t="str">
        <f>IFERROR(LEFT([1]!Tabela5[[#This Row],[MAQUINA]],SEARCH(" ",[1]!Tabela5[[#This Row],[MAQUINA]],1)-1),"")</f>
        <v/>
      </c>
      <c r="P26" s="34"/>
      <c r="Q26" s="103">
        <f t="shared" ref="Q26" si="42">R26*24*60</f>
        <v>527.99999999999989</v>
      </c>
      <c r="R26" s="82">
        <v>0.36666666666666664</v>
      </c>
      <c r="S26" s="104">
        <f t="shared" ref="S26" si="43">Q26/60</f>
        <v>8.7999999999999989</v>
      </c>
      <c r="T26" s="87">
        <f>_xlfn.XLOOKUP(B26,[1]BD!C:C,[1]BD!D:D)*S26</f>
        <v>1231.9999999999998</v>
      </c>
      <c r="U26" s="89">
        <f t="shared" ref="U26" si="44">IFERROR(D26/T26,"")</f>
        <v>0.88230519480519498</v>
      </c>
    </row>
    <row r="27" spans="1:21" ht="19.5" thickBot="1" x14ac:dyDescent="0.35">
      <c r="A27" s="53" t="s">
        <v>1164</v>
      </c>
      <c r="B27" s="55" t="s">
        <v>1096</v>
      </c>
      <c r="C27" s="109" t="s">
        <v>1145</v>
      </c>
      <c r="D27" s="110">
        <v>1152</v>
      </c>
      <c r="E27" s="90">
        <v>46167.25</v>
      </c>
      <c r="F27" s="90">
        <v>46167.666666666664</v>
      </c>
      <c r="G27" s="42">
        <v>7.7777777777777779E-2</v>
      </c>
      <c r="H27" s="86">
        <f t="shared" si="0"/>
        <v>0.33888888888646357</v>
      </c>
      <c r="I27" s="87">
        <f>_xlfn.XLOOKUP(B27,[1]BD!C:C,[1]BD!D:D)*L27</f>
        <v>1431.4666666564221</v>
      </c>
      <c r="J27" s="88">
        <f t="shared" si="1"/>
        <v>0.80476900149607244</v>
      </c>
      <c r="K27" s="100">
        <f t="shared" si="2"/>
        <v>487.99999999650754</v>
      </c>
      <c r="L27" s="101">
        <f t="shared" si="3"/>
        <v>8.1333333332751252</v>
      </c>
      <c r="M27" s="36" t="e">
        <f>IF([1]!Tabela5[[#This Row],[MAQUINA]]="","",TEXT([1]!Tabela5[[#This Row],[HORA
INÍCIO]],"MMMM"))</f>
        <v>#REF!</v>
      </c>
      <c r="N27" s="102" t="e">
        <f>IF([1]!Tabela5[[#This Row],[MAQUINA]]="","",DATE(YEAR(E27),MONTH(E27),DAY(E27)))</f>
        <v>#REF!</v>
      </c>
      <c r="O27" s="36" t="str">
        <f>IFERROR(LEFT([1]!Tabela5[[#This Row],[MAQUINA]],SEARCH(" ",[1]!Tabela5[[#This Row],[MAQUINA]],1)-1),"")</f>
        <v/>
      </c>
      <c r="P27" s="34"/>
      <c r="Q27" s="103">
        <f t="shared" si="4"/>
        <v>527.99999999999989</v>
      </c>
      <c r="R27" s="82">
        <v>0.36666666666666664</v>
      </c>
      <c r="S27" s="104">
        <f t="shared" si="16"/>
        <v>8.7999999999999989</v>
      </c>
      <c r="T27" s="87">
        <f>_xlfn.XLOOKUP(B27,[1]BD!C:C,[1]BD!D:D)*S27</f>
        <v>1548.7999999999997</v>
      </c>
      <c r="U27" s="89">
        <f t="shared" si="5"/>
        <v>0.74380165289256206</v>
      </c>
    </row>
    <row r="28" spans="1:21" ht="19.5" thickBot="1" x14ac:dyDescent="0.35">
      <c r="A28" s="53" t="s">
        <v>1165</v>
      </c>
      <c r="B28" s="55" t="s">
        <v>1094</v>
      </c>
      <c r="C28" s="109" t="s">
        <v>1151</v>
      </c>
      <c r="D28" s="110">
        <v>720</v>
      </c>
      <c r="E28" s="90">
        <v>46167.25</v>
      </c>
      <c r="F28" s="90">
        <v>46167.666666666664</v>
      </c>
      <c r="G28" s="42">
        <v>0.10486111111111111</v>
      </c>
      <c r="H28" s="86">
        <f t="shared" si="0"/>
        <v>0.31180555555313022</v>
      </c>
      <c r="I28" s="87">
        <f>_xlfn.XLOOKUP(B28,[1]BD!C:C,[1]BD!D:D)*L28</f>
        <v>658.53333332821103</v>
      </c>
      <c r="J28" s="88">
        <f t="shared" si="1"/>
        <v>1.0933387325454551</v>
      </c>
      <c r="K28" s="100">
        <f t="shared" si="2"/>
        <v>448.99999999650748</v>
      </c>
      <c r="L28" s="101">
        <f t="shared" si="3"/>
        <v>7.4833333332751248</v>
      </c>
      <c r="M28" s="36" t="e">
        <f>IF([1]!Tabela5[[#This Row],[MAQUINA]]="","",TEXT([1]!Tabela5[[#This Row],[HORA
INÍCIO]],"MMMM"))</f>
        <v>#REF!</v>
      </c>
      <c r="N28" s="102" t="e">
        <f>IF([1]!Tabela5[[#This Row],[MAQUINA]]="","",DATE(YEAR(E28),MONTH(E28),DAY(E28)))</f>
        <v>#REF!</v>
      </c>
      <c r="O28" s="36" t="str">
        <f>IFERROR(LEFT([1]!Tabela5[[#This Row],[MAQUINA]],SEARCH(" ",[1]!Tabela5[[#This Row],[MAQUINA]],1)-1),"")</f>
        <v/>
      </c>
      <c r="P28" s="34"/>
      <c r="Q28" s="103">
        <f t="shared" si="4"/>
        <v>527.99999999999989</v>
      </c>
      <c r="R28" s="82">
        <v>0.36666666666666664</v>
      </c>
      <c r="S28" s="104">
        <f t="shared" si="16"/>
        <v>8.7999999999999989</v>
      </c>
      <c r="T28" s="87">
        <f>_xlfn.XLOOKUP(B28,[1]BD!C:C,[1]BD!D:D)*S28</f>
        <v>774.39999999999986</v>
      </c>
      <c r="U28" s="89">
        <f t="shared" si="5"/>
        <v>0.9297520661157026</v>
      </c>
    </row>
    <row r="29" spans="1:21" ht="19.5" thickBot="1" x14ac:dyDescent="0.35">
      <c r="A29" s="53" t="s">
        <v>1173</v>
      </c>
      <c r="B29" s="55" t="s">
        <v>1127</v>
      </c>
      <c r="C29" s="109" t="s">
        <v>1381</v>
      </c>
      <c r="D29" s="110">
        <v>6455</v>
      </c>
      <c r="E29" s="90">
        <v>46167.25</v>
      </c>
      <c r="F29" s="90">
        <v>46167.666666666664</v>
      </c>
      <c r="G29" s="42">
        <v>0.19375000000000001</v>
      </c>
      <c r="H29" s="86">
        <f t="shared" ref="H29" si="45">(F29-E29)-G29</f>
        <v>0.22291666666424134</v>
      </c>
      <c r="I29" s="87">
        <f>_xlfn.XLOOKUP(B29,[1]BD!C:C,[1]BD!D:D)*L29</f>
        <v>4814.9999999476131</v>
      </c>
      <c r="J29" s="88">
        <f t="shared" ref="J29" si="46">IFERROR(D29/I29,"")</f>
        <v>1.340602284542104</v>
      </c>
      <c r="K29" s="100">
        <f t="shared" ref="K29" si="47">H29*24*60</f>
        <v>320.99999999650754</v>
      </c>
      <c r="L29" s="101">
        <f t="shared" ref="L29" si="48">K29/60</f>
        <v>5.349999999941792</v>
      </c>
      <c r="M29" s="36" t="e">
        <f>IF([1]!Tabela5[[#This Row],[MAQUINA]]="","",TEXT([1]!Tabela5[[#This Row],[HORA
INÍCIO]],"MMMM"))</f>
        <v>#REF!</v>
      </c>
      <c r="N29" s="102" t="e">
        <f>IF([1]!Tabela5[[#This Row],[MAQUINA]]="","",DATE(YEAR(E29),MONTH(E29),DAY(E29)))</f>
        <v>#REF!</v>
      </c>
      <c r="O29" s="36" t="str">
        <f>IFERROR(LEFT([1]!Tabela5[[#This Row],[MAQUINA]],SEARCH(" ",[1]!Tabela5[[#This Row],[MAQUINA]],1)-1),"")</f>
        <v/>
      </c>
      <c r="P29" s="34"/>
      <c r="Q29" s="103">
        <f t="shared" ref="Q29" si="49">R29*24*60</f>
        <v>527.99999999999989</v>
      </c>
      <c r="R29" s="82">
        <v>0.36666666666666664</v>
      </c>
      <c r="S29" s="104">
        <f t="shared" ref="S29" si="50">Q29/60</f>
        <v>8.7999999999999989</v>
      </c>
      <c r="T29" s="87">
        <f>_xlfn.XLOOKUP(B29,[1]BD!C:C,[1]BD!D:D)*S29</f>
        <v>7919.9999999999991</v>
      </c>
      <c r="U29" s="89">
        <f t="shared" ref="U29" si="51">IFERROR(D29/T29,"")</f>
        <v>0.8150252525252526</v>
      </c>
    </row>
    <row r="30" spans="1:21" ht="19.5" thickBot="1" x14ac:dyDescent="0.35">
      <c r="A30" s="53" t="s">
        <v>1172</v>
      </c>
      <c r="B30" s="55" t="s">
        <v>1120</v>
      </c>
      <c r="C30" s="109" t="s">
        <v>1153</v>
      </c>
      <c r="D30" s="110">
        <v>4246</v>
      </c>
      <c r="E30" s="90">
        <v>46167.25</v>
      </c>
      <c r="F30" s="90">
        <v>46167.666666666664</v>
      </c>
      <c r="G30" s="42">
        <v>2.9166666666666667E-2</v>
      </c>
      <c r="H30" s="86">
        <f t="shared" ref="H30" si="52">(F30-E30)-G30</f>
        <v>0.38749999999757467</v>
      </c>
      <c r="I30" s="87">
        <f>_xlfn.XLOOKUP(B30,[1]BD!C:C,[1]BD!D:D)*L30</f>
        <v>5951.9999999627471</v>
      </c>
      <c r="J30" s="88">
        <f t="shared" ref="J30" si="53">IFERROR(D30/I30,"")</f>
        <v>0.71337365591844337</v>
      </c>
      <c r="K30" s="100">
        <f t="shared" ref="K30" si="54">H30*24*60</f>
        <v>557.99999999650754</v>
      </c>
      <c r="L30" s="101">
        <f t="shared" ref="L30" si="55">K30/60</f>
        <v>9.299999999941793</v>
      </c>
      <c r="M30" s="36" t="e">
        <f>IF([1]!Tabela5[[#This Row],[MAQUINA]]="","",TEXT([1]!Tabela5[[#This Row],[HORA
INÍCIO]],"MMMM"))</f>
        <v>#REF!</v>
      </c>
      <c r="N30" s="102" t="e">
        <f>IF([1]!Tabela5[[#This Row],[MAQUINA]]="","",DATE(YEAR(E30),MONTH(E30),DAY(E30)))</f>
        <v>#REF!</v>
      </c>
      <c r="O30" s="36" t="str">
        <f>IFERROR(LEFT([1]!Tabela5[[#This Row],[MAQUINA]],SEARCH(" ",[1]!Tabela5[[#This Row],[MAQUINA]],1)-1),"")</f>
        <v/>
      </c>
      <c r="P30" s="34"/>
      <c r="Q30" s="103">
        <f t="shared" ref="Q30" si="56">R30*24*60</f>
        <v>527.99999999999989</v>
      </c>
      <c r="R30" s="82">
        <v>0.36666666666666664</v>
      </c>
      <c r="S30" s="104">
        <f t="shared" ref="S30" si="57">Q30/60</f>
        <v>8.7999999999999989</v>
      </c>
      <c r="T30" s="87">
        <f>_xlfn.XLOOKUP(B30,[1]BD!C:C,[1]BD!D:D)*S30</f>
        <v>5631.9999999999991</v>
      </c>
      <c r="U30" s="89">
        <f t="shared" ref="U30" si="58">IFERROR(D30/T30,"")</f>
        <v>0.75390625000000011</v>
      </c>
    </row>
    <row r="31" spans="1:21" ht="18.75" x14ac:dyDescent="0.3">
      <c r="A31" s="53" t="s">
        <v>1170</v>
      </c>
      <c r="B31" s="55" t="s">
        <v>1125</v>
      </c>
      <c r="C31" s="109" t="s">
        <v>1150</v>
      </c>
      <c r="D31" s="110">
        <v>3658</v>
      </c>
      <c r="E31" s="90">
        <v>46167.25</v>
      </c>
      <c r="F31" s="90">
        <v>46167.666666666664</v>
      </c>
      <c r="G31" s="42">
        <v>7.2916666666666671E-2</v>
      </c>
      <c r="H31" s="86">
        <f t="shared" si="0"/>
        <v>0.34374999999757466</v>
      </c>
      <c r="I31" s="87">
        <f>_xlfn.XLOOKUP(B31,[1]BD!C:C,[1]BD!D:D)*L31</f>
        <v>0</v>
      </c>
      <c r="J31" s="88" t="str">
        <f t="shared" si="1"/>
        <v/>
      </c>
      <c r="K31" s="100">
        <f t="shared" si="2"/>
        <v>494.99999999650754</v>
      </c>
      <c r="L31" s="101">
        <f t="shared" si="3"/>
        <v>8.2499999999417923</v>
      </c>
      <c r="M31" s="36" t="e">
        <f>IF([1]!Tabela5[[#This Row],[MAQUINA]]="","",TEXT([1]!Tabela5[[#This Row],[HORA
INÍCIO]],"MMMM"))</f>
        <v>#REF!</v>
      </c>
      <c r="N31" s="102" t="e">
        <f>IF([1]!Tabela5[[#This Row],[MAQUINA]]="","",DATE(YEAR(E31),MONTH(E31),DAY(E31)))</f>
        <v>#REF!</v>
      </c>
      <c r="O31" s="36" t="str">
        <f>IFERROR(LEFT([1]!Tabela5[[#This Row],[MAQUINA]],SEARCH(" ",[1]!Tabela5[[#This Row],[MAQUINA]],1)-1),"")</f>
        <v/>
      </c>
      <c r="P31" s="34"/>
      <c r="Q31" s="103">
        <f t="shared" si="4"/>
        <v>527.99999999999989</v>
      </c>
      <c r="R31" s="82">
        <v>0.36666666666666664</v>
      </c>
      <c r="S31" s="104">
        <f t="shared" si="16"/>
        <v>8.7999999999999989</v>
      </c>
      <c r="T31" s="87">
        <f>_xlfn.XLOOKUP(B31,[1]BD!C:C,[1]BD!D:D)*S31</f>
        <v>0</v>
      </c>
      <c r="U31" s="89" t="str">
        <f t="shared" si="5"/>
        <v/>
      </c>
    </row>
    <row r="32" spans="1:21" ht="27" thickBot="1" x14ac:dyDescent="0.3">
      <c r="A32" s="195"/>
      <c r="B32" s="196"/>
      <c r="C32" s="196"/>
      <c r="D32" s="196"/>
      <c r="E32" s="196"/>
      <c r="F32" s="196"/>
      <c r="G32" s="196"/>
      <c r="H32" s="196"/>
      <c r="I32" s="197"/>
      <c r="K32" s="2"/>
      <c r="L32" s="2"/>
      <c r="M32" s="2"/>
      <c r="N32" s="2"/>
      <c r="O32" s="2"/>
    </row>
    <row r="33" spans="1:21" ht="19.5" thickBot="1" x14ac:dyDescent="0.35">
      <c r="A33" s="54" t="s">
        <v>1354</v>
      </c>
      <c r="B33" s="191" t="s">
        <v>1130</v>
      </c>
      <c r="C33" s="192"/>
      <c r="D33" s="193" t="s">
        <v>1345</v>
      </c>
      <c r="E33" s="194"/>
      <c r="F33" s="198" t="s">
        <v>1346</v>
      </c>
      <c r="G33" s="199"/>
      <c r="H33" s="199"/>
      <c r="I33" s="200"/>
      <c r="K33" s="2"/>
      <c r="L33" s="2"/>
      <c r="M33" s="2"/>
      <c r="N33" s="2"/>
      <c r="O33" s="2"/>
    </row>
    <row r="34" spans="1:21" ht="18.75" x14ac:dyDescent="0.3">
      <c r="A34" s="53" t="s">
        <v>1166</v>
      </c>
      <c r="B34" s="183" t="s">
        <v>1091</v>
      </c>
      <c r="C34" s="184"/>
      <c r="D34" s="179">
        <v>780</v>
      </c>
      <c r="E34" s="180"/>
      <c r="F34" s="181">
        <v>197.34</v>
      </c>
      <c r="G34" s="180"/>
      <c r="H34" s="180"/>
      <c r="I34" s="182"/>
    </row>
    <row r="35" spans="1:21" ht="18.75" x14ac:dyDescent="0.3">
      <c r="A35" s="53" t="s">
        <v>1167</v>
      </c>
      <c r="B35" s="183" t="s">
        <v>1104</v>
      </c>
      <c r="C35" s="184"/>
      <c r="D35" s="188">
        <v>1499</v>
      </c>
      <c r="E35" s="185"/>
      <c r="F35" s="186">
        <v>437.70800000000003</v>
      </c>
      <c r="G35" s="185"/>
      <c r="H35" s="185"/>
      <c r="I35" s="187"/>
    </row>
    <row r="36" spans="1:21" ht="18.75" x14ac:dyDescent="0.3">
      <c r="A36" s="53" t="s">
        <v>1167</v>
      </c>
      <c r="B36" s="183" t="s">
        <v>1090</v>
      </c>
      <c r="C36" s="184"/>
      <c r="D36" s="188">
        <v>520</v>
      </c>
      <c r="E36" s="185"/>
      <c r="F36" s="186">
        <v>444.08</v>
      </c>
      <c r="G36" s="185"/>
      <c r="H36" s="185"/>
      <c r="I36" s="187"/>
    </row>
    <row r="37" spans="1:21" ht="18.75" x14ac:dyDescent="0.3">
      <c r="A37" s="53" t="s">
        <v>1173</v>
      </c>
      <c r="B37" s="183" t="s">
        <v>1127</v>
      </c>
      <c r="C37" s="184"/>
      <c r="D37" s="185">
        <v>6455</v>
      </c>
      <c r="E37" s="185"/>
      <c r="F37" s="186">
        <v>548.67499999999995</v>
      </c>
      <c r="G37" s="185"/>
      <c r="H37" s="185"/>
      <c r="I37" s="187"/>
    </row>
    <row r="38" spans="1:21" ht="18.75" x14ac:dyDescent="0.3">
      <c r="A38" s="53"/>
      <c r="B38" s="183"/>
      <c r="C38" s="184"/>
      <c r="D38" s="185"/>
      <c r="E38" s="185"/>
      <c r="F38" s="186"/>
      <c r="G38" s="185"/>
      <c r="H38" s="185"/>
      <c r="I38" s="187"/>
    </row>
    <row r="39" spans="1:21" ht="18.75" x14ac:dyDescent="0.3">
      <c r="A39" s="122"/>
      <c r="B39" s="123"/>
      <c r="C39" s="123"/>
      <c r="D39" s="123"/>
      <c r="E39" s="123"/>
      <c r="F39" s="124"/>
      <c r="G39" s="123"/>
      <c r="H39" s="123"/>
      <c r="I39" s="125"/>
    </row>
    <row r="40" spans="1:21" ht="19.5" thickBot="1" x14ac:dyDescent="0.3">
      <c r="A40" s="126"/>
      <c r="B40" s="126"/>
      <c r="C40" s="127"/>
      <c r="D40" s="140">
        <f>SUM(D34:E38)</f>
        <v>9254</v>
      </c>
      <c r="E40" s="141"/>
      <c r="F40" s="140">
        <f>SUM(F34:I38)</f>
        <v>1627.8029999999999</v>
      </c>
      <c r="G40" s="142"/>
      <c r="H40" s="142"/>
      <c r="I40" s="141"/>
      <c r="J40" s="106"/>
      <c r="K40" s="107"/>
      <c r="L40" s="107"/>
      <c r="M40" s="107"/>
      <c r="N40" s="107"/>
      <c r="O40" s="107"/>
      <c r="P40" s="106"/>
      <c r="Q40" s="106"/>
      <c r="R40" s="106"/>
      <c r="S40" s="106" t="s">
        <v>5</v>
      </c>
      <c r="T40" s="106"/>
      <c r="U40" s="107"/>
    </row>
    <row r="41" spans="1:21" ht="15" customHeight="1" x14ac:dyDescent="0.25">
      <c r="A41" s="143" t="s">
        <v>1186</v>
      </c>
      <c r="B41" s="144"/>
      <c r="C41" s="145"/>
      <c r="D41" s="149" t="s">
        <v>1347</v>
      </c>
      <c r="E41" s="128" t="s">
        <v>1348</v>
      </c>
      <c r="F41" s="129"/>
      <c r="G41" s="130"/>
      <c r="H41" s="134" t="s">
        <v>1349</v>
      </c>
      <c r="I41" s="135"/>
      <c r="J41" s="136"/>
    </row>
    <row r="42" spans="1:21" ht="21.75" customHeight="1" thickBot="1" x14ac:dyDescent="0.3">
      <c r="A42" s="146"/>
      <c r="B42" s="147"/>
      <c r="C42" s="148"/>
      <c r="D42" s="150"/>
      <c r="E42" s="131"/>
      <c r="F42" s="132"/>
      <c r="G42" s="133"/>
      <c r="H42" s="137"/>
      <c r="I42" s="138"/>
      <c r="J42" s="139"/>
    </row>
    <row r="43" spans="1:21" ht="17.25" customHeight="1" x14ac:dyDescent="0.25">
      <c r="A43" s="152">
        <v>1700</v>
      </c>
      <c r="B43" s="153"/>
      <c r="C43" s="154"/>
      <c r="D43" s="150"/>
      <c r="E43" s="161">
        <f>F40</f>
        <v>1627.8029999999999</v>
      </c>
      <c r="F43" s="162"/>
      <c r="G43" s="163"/>
      <c r="H43" s="170">
        <f>E43/A43</f>
        <v>0.95753117647058816</v>
      </c>
      <c r="I43" s="171"/>
      <c r="J43" s="172"/>
    </row>
    <row r="44" spans="1:21" ht="17.25" customHeight="1" x14ac:dyDescent="0.25">
      <c r="A44" s="155"/>
      <c r="B44" s="156"/>
      <c r="C44" s="157"/>
      <c r="D44" s="150"/>
      <c r="E44" s="164"/>
      <c r="F44" s="165"/>
      <c r="G44" s="166"/>
      <c r="H44" s="173"/>
      <c r="I44" s="174"/>
      <c r="J44" s="175"/>
    </row>
    <row r="45" spans="1:21" ht="17.25" customHeight="1" x14ac:dyDescent="0.25">
      <c r="A45" s="155"/>
      <c r="B45" s="156"/>
      <c r="C45" s="157"/>
      <c r="D45" s="150"/>
      <c r="E45" s="164"/>
      <c r="F45" s="165"/>
      <c r="G45" s="166"/>
      <c r="H45" s="173"/>
      <c r="I45" s="174"/>
      <c r="J45" s="175"/>
    </row>
    <row r="46" spans="1:21" ht="17.25" customHeight="1" x14ac:dyDescent="0.25">
      <c r="A46" s="155"/>
      <c r="B46" s="156"/>
      <c r="C46" s="157"/>
      <c r="D46" s="150"/>
      <c r="E46" s="164"/>
      <c r="F46" s="165"/>
      <c r="G46" s="166"/>
      <c r="H46" s="173"/>
      <c r="I46" s="174"/>
      <c r="J46" s="175"/>
    </row>
    <row r="47" spans="1:21" ht="17.25" customHeight="1" x14ac:dyDescent="0.25">
      <c r="A47" s="155"/>
      <c r="B47" s="156"/>
      <c r="C47" s="157"/>
      <c r="D47" s="150"/>
      <c r="E47" s="164"/>
      <c r="F47" s="165"/>
      <c r="G47" s="166"/>
      <c r="H47" s="173"/>
      <c r="I47" s="174"/>
      <c r="J47" s="175"/>
    </row>
    <row r="48" spans="1:21" ht="17.25" customHeight="1" thickBot="1" x14ac:dyDescent="0.3">
      <c r="A48" s="158"/>
      <c r="B48" s="159"/>
      <c r="C48" s="160"/>
      <c r="D48" s="151"/>
      <c r="E48" s="167"/>
      <c r="F48" s="168"/>
      <c r="G48" s="169"/>
      <c r="H48" s="176"/>
      <c r="I48" s="177"/>
      <c r="J48" s="178"/>
    </row>
    <row r="49" spans="1:5" ht="17.25" customHeight="1" thickBot="1" x14ac:dyDescent="0.3"/>
    <row r="50" spans="1:5" ht="17.25" customHeight="1" thickBot="1" x14ac:dyDescent="0.4">
      <c r="A50" s="201" t="s">
        <v>1357</v>
      </c>
      <c r="B50" s="202"/>
      <c r="C50" s="78" t="s">
        <v>1378</v>
      </c>
      <c r="D50" s="78" t="s">
        <v>1358</v>
      </c>
    </row>
    <row r="51" spans="1:5" ht="17.25" customHeight="1" x14ac:dyDescent="0.3">
      <c r="A51" s="204" t="s">
        <v>1124</v>
      </c>
      <c r="B51" s="205"/>
      <c r="C51" s="77">
        <v>1</v>
      </c>
      <c r="D51" s="121">
        <f t="shared" ref="D51:D61" si="59">C51*E51</f>
        <v>0.109</v>
      </c>
      <c r="E51" s="57">
        <f>_xlfn.XLOOKUP(A51,[2]BD!C:C,[2]BD!D:D)</f>
        <v>0.109</v>
      </c>
    </row>
    <row r="52" spans="1:5" ht="17.25" customHeight="1" x14ac:dyDescent="0.3">
      <c r="A52" s="203" t="s">
        <v>1094</v>
      </c>
      <c r="B52" s="185"/>
      <c r="C52" s="56">
        <v>7</v>
      </c>
      <c r="D52" s="65">
        <f t="shared" si="59"/>
        <v>4.1929999999999996</v>
      </c>
      <c r="E52" s="57">
        <f>_xlfn.XLOOKUP(A52,[2]BD!C:C,[2]BD!D:D)</f>
        <v>0.59899999999999998</v>
      </c>
    </row>
    <row r="53" spans="1:5" ht="17.25" customHeight="1" x14ac:dyDescent="0.3">
      <c r="A53" s="203" t="s">
        <v>1106</v>
      </c>
      <c r="B53" s="185"/>
      <c r="C53" s="56">
        <v>26</v>
      </c>
      <c r="D53" s="65">
        <f t="shared" si="59"/>
        <v>15.6</v>
      </c>
      <c r="E53" s="57">
        <f>_xlfn.XLOOKUP(A53,[2]BD!C:C,[2]BD!D:D)</f>
        <v>0.6</v>
      </c>
    </row>
    <row r="54" spans="1:5" ht="17.25" customHeight="1" x14ac:dyDescent="0.3">
      <c r="A54" s="203" t="s">
        <v>1133</v>
      </c>
      <c r="B54" s="185"/>
      <c r="C54" s="56">
        <v>52</v>
      </c>
      <c r="D54" s="65">
        <f t="shared" si="59"/>
        <v>17.004000000000001</v>
      </c>
      <c r="E54" s="57">
        <f>_xlfn.XLOOKUP(A54,[2]BD!C:C,[2]BD!D:D)</f>
        <v>0.32700000000000001</v>
      </c>
    </row>
    <row r="55" spans="1:5" ht="18.75" x14ac:dyDescent="0.3">
      <c r="A55" s="203" t="s">
        <v>1124</v>
      </c>
      <c r="B55" s="185"/>
      <c r="C55" s="79">
        <v>29</v>
      </c>
      <c r="D55" s="65">
        <f t="shared" si="59"/>
        <v>3.161</v>
      </c>
      <c r="E55" s="57">
        <f>_xlfn.XLOOKUP(A55,[2]BD!C:C,[2]BD!D:D)</f>
        <v>0.109</v>
      </c>
    </row>
    <row r="56" spans="1:5" ht="18.75" x14ac:dyDescent="0.3">
      <c r="A56" s="203" t="s">
        <v>1090</v>
      </c>
      <c r="B56" s="185"/>
      <c r="C56" s="79">
        <v>3</v>
      </c>
      <c r="D56" s="65">
        <f t="shared" si="59"/>
        <v>2.5619999999999998</v>
      </c>
      <c r="E56" s="57">
        <f>_xlfn.XLOOKUP(A56,[2]BD!C:C,[2]BD!D:D)</f>
        <v>0.85399999999999998</v>
      </c>
    </row>
    <row r="57" spans="1:5" ht="18.75" x14ac:dyDescent="0.3">
      <c r="A57" s="203" t="s">
        <v>1126</v>
      </c>
      <c r="B57" s="185"/>
      <c r="C57" s="79">
        <v>50</v>
      </c>
      <c r="D57" s="65">
        <f t="shared" si="59"/>
        <v>4.1500000000000004</v>
      </c>
      <c r="E57" s="57">
        <f>_xlfn.XLOOKUP(A57,[2]BD!C:C,[2]BD!D:D)</f>
        <v>8.3000000000000004E-2</v>
      </c>
    </row>
    <row r="58" spans="1:5" ht="19.5" thickBot="1" x14ac:dyDescent="0.35">
      <c r="A58" s="203" t="s">
        <v>1137</v>
      </c>
      <c r="B58" s="185"/>
      <c r="C58" s="79">
        <v>13</v>
      </c>
      <c r="D58" s="108">
        <f t="shared" si="59"/>
        <v>5.3559999999999999</v>
      </c>
      <c r="E58" s="57">
        <f>_xlfn.XLOOKUP(A58,[2]BD!C:C,[2]BD!D:D)</f>
        <v>0.41199999999999998</v>
      </c>
    </row>
    <row r="59" spans="1:5" ht="18.75" x14ac:dyDescent="0.3">
      <c r="A59" s="203" t="s">
        <v>1127</v>
      </c>
      <c r="B59" s="185"/>
      <c r="C59" s="79">
        <v>4</v>
      </c>
      <c r="D59" s="65">
        <f t="shared" si="59"/>
        <v>0.33200000000000002</v>
      </c>
      <c r="E59" s="57">
        <f>_xlfn.XLOOKUP(A59,[2]BD!C:C,[2]BD!D:D)</f>
        <v>8.3000000000000004E-2</v>
      </c>
    </row>
    <row r="60" spans="1:5" ht="18.75" x14ac:dyDescent="0.3">
      <c r="A60" s="203"/>
      <c r="B60" s="185"/>
      <c r="C60" s="79"/>
      <c r="D60" s="65">
        <f t="shared" si="59"/>
        <v>0</v>
      </c>
      <c r="E60" s="57">
        <f>_xlfn.XLOOKUP(A60,[2]BD!C:C,[2]BD!D:D)</f>
        <v>0</v>
      </c>
    </row>
    <row r="61" spans="1:5" ht="18.75" x14ac:dyDescent="0.3">
      <c r="A61" s="203"/>
      <c r="B61" s="185"/>
      <c r="C61" s="79"/>
      <c r="D61" s="65">
        <f t="shared" si="59"/>
        <v>0</v>
      </c>
      <c r="E61" s="57">
        <f>_xlfn.XLOOKUP(A61,[2]BD!C:C,[2]BD!D:D)</f>
        <v>0</v>
      </c>
    </row>
    <row r="62" spans="1:5" ht="23.25" x14ac:dyDescent="0.25">
      <c r="C62" s="64">
        <f>SUM(C51:C61)</f>
        <v>185</v>
      </c>
      <c r="D62" s="64">
        <f>SUM(D51:D61)</f>
        <v>52.467000000000006</v>
      </c>
      <c r="E62" s="57"/>
    </row>
  </sheetData>
  <mergeCells count="42">
    <mergeCell ref="A50:B50"/>
    <mergeCell ref="A56:B56"/>
    <mergeCell ref="A61:B61"/>
    <mergeCell ref="A57:B57"/>
    <mergeCell ref="A60:B60"/>
    <mergeCell ref="A58:B58"/>
    <mergeCell ref="A54:B54"/>
    <mergeCell ref="A53:B53"/>
    <mergeCell ref="A52:B52"/>
    <mergeCell ref="A51:B51"/>
    <mergeCell ref="A55:B55"/>
    <mergeCell ref="A59:B59"/>
    <mergeCell ref="B1:J1"/>
    <mergeCell ref="B33:C33"/>
    <mergeCell ref="D33:E33"/>
    <mergeCell ref="A32:I32"/>
    <mergeCell ref="F33:I33"/>
    <mergeCell ref="D34:E34"/>
    <mergeCell ref="F34:I34"/>
    <mergeCell ref="B34:C34"/>
    <mergeCell ref="B38:C38"/>
    <mergeCell ref="D38:E38"/>
    <mergeCell ref="F38:I38"/>
    <mergeCell ref="B35:C35"/>
    <mergeCell ref="D35:E35"/>
    <mergeCell ref="F35:I35"/>
    <mergeCell ref="B36:C36"/>
    <mergeCell ref="D36:E36"/>
    <mergeCell ref="F36:I36"/>
    <mergeCell ref="B37:C37"/>
    <mergeCell ref="D37:E37"/>
    <mergeCell ref="F37:I37"/>
    <mergeCell ref="A40:C40"/>
    <mergeCell ref="E41:G42"/>
    <mergeCell ref="H41:J42"/>
    <mergeCell ref="D40:E40"/>
    <mergeCell ref="F40:I40"/>
    <mergeCell ref="A41:C42"/>
    <mergeCell ref="D41:D48"/>
    <mergeCell ref="A43:C48"/>
    <mergeCell ref="E43:G48"/>
    <mergeCell ref="H43:J48"/>
  </mergeCells>
  <phoneticPr fontId="8" type="noConversion"/>
  <conditionalFormatting sqref="J3:J10 U3:U10 J12:J31 U12:U31">
    <cfRule type="cellIs" dxfId="2" priority="13" operator="greaterThan">
      <formula>0.85</formula>
    </cfRule>
    <cfRule type="cellIs" dxfId="1" priority="14" operator="lessThan">
      <formula>0.85</formula>
    </cfRule>
  </conditionalFormatting>
  <pageMargins left="0.25" right="0.25" top="0.75" bottom="0.75" header="0.3" footer="0.3"/>
  <pageSetup paperSize="9" scale="28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C378AD0-767B-4D4A-A5D0-E6595DB1B68B}">
          <x14:formula1>
            <xm:f>BD!$F$2:$F$22</xm:f>
          </x14:formula1>
          <xm:sqref>A3:A31 A34:A39</xm:sqref>
        </x14:dataValidation>
        <x14:dataValidation type="list" allowBlank="1" showInputMessage="1" showErrorMessage="1" xr:uid="{010F9296-A679-46EF-8325-BEEF0EB301DF}">
          <x14:formula1>
            <xm:f>BD!$C$2:$C$68</xm:f>
          </x14:formula1>
          <xm:sqref>B3:B31</xm:sqref>
        </x14:dataValidation>
        <x14:dataValidation type="list" allowBlank="1" showInputMessage="1" showErrorMessage="1" xr:uid="{42D6F537-3256-4C8E-A5CA-CAE48B95AD36}">
          <x14:formula1>
            <xm:f>BD!$A$2:$A$29</xm:f>
          </x14:formula1>
          <xm:sqref>C3:C11 C15:C31</xm:sqref>
        </x14:dataValidation>
        <x14:dataValidation type="list" allowBlank="1" showInputMessage="1" showErrorMessage="1" xr:uid="{AB5724EA-0BBE-4478-845C-EEE048F39ED7}">
          <x14:formula1>
            <xm:f>BD!$A$2:$A$30</xm:f>
          </x14:formula1>
          <xm:sqref>C12:C14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4ECB-D8BB-4156-8878-516E7002818A}">
  <sheetPr codeName="Planilha2"/>
  <dimension ref="A1:E1219"/>
  <sheetViews>
    <sheetView zoomScale="115" zoomScaleNormal="115" workbookViewId="0">
      <selection activeCell="A1203" sqref="A1203:B1207"/>
    </sheetView>
  </sheetViews>
  <sheetFormatPr defaultRowHeight="15.75" customHeight="1" x14ac:dyDescent="0.25"/>
  <cols>
    <col min="1" max="1" width="13.42578125" style="6" bestFit="1" customWidth="1"/>
    <col min="2" max="2" width="54.85546875" style="6" bestFit="1" customWidth="1"/>
    <col min="3" max="3" width="8.42578125" bestFit="1" customWidth="1"/>
    <col min="4" max="4" width="21.140625" bestFit="1" customWidth="1"/>
    <col min="5" max="5" width="10" bestFit="1" customWidth="1"/>
  </cols>
  <sheetData>
    <row r="1" spans="1:5" ht="15" x14ac:dyDescent="0.25">
      <c r="A1" s="6" t="s">
        <v>0</v>
      </c>
      <c r="B1" s="6" t="s">
        <v>1</v>
      </c>
      <c r="C1" t="s">
        <v>2</v>
      </c>
      <c r="D1" t="s">
        <v>3</v>
      </c>
      <c r="E1" t="s">
        <v>4</v>
      </c>
    </row>
    <row r="2" spans="1:5" ht="15" hidden="1" x14ac:dyDescent="0.25">
      <c r="A2" s="3">
        <v>411</v>
      </c>
      <c r="B2" s="4" t="s">
        <v>5</v>
      </c>
      <c r="C2">
        <v>0.16</v>
      </c>
      <c r="E2" t="s">
        <v>6</v>
      </c>
    </row>
    <row r="3" spans="1:5" ht="15" hidden="1" x14ac:dyDescent="0.25">
      <c r="A3" s="3">
        <v>412</v>
      </c>
      <c r="B3" s="4" t="s">
        <v>7</v>
      </c>
      <c r="C3">
        <v>0.15</v>
      </c>
      <c r="E3" t="s">
        <v>6</v>
      </c>
    </row>
    <row r="4" spans="1:5" ht="15" hidden="1" x14ac:dyDescent="0.25">
      <c r="A4" s="3">
        <v>413</v>
      </c>
      <c r="B4" s="4" t="s">
        <v>8</v>
      </c>
      <c r="C4">
        <v>0.15</v>
      </c>
      <c r="E4" t="s">
        <v>6</v>
      </c>
    </row>
    <row r="5" spans="1:5" ht="15" hidden="1" x14ac:dyDescent="0.25">
      <c r="A5" s="3">
        <v>414</v>
      </c>
      <c r="B5" s="4" t="s">
        <v>9</v>
      </c>
      <c r="C5">
        <v>0.15</v>
      </c>
      <c r="E5" t="s">
        <v>6</v>
      </c>
    </row>
    <row r="6" spans="1:5" ht="15" hidden="1" x14ac:dyDescent="0.25">
      <c r="A6" s="3">
        <v>2191</v>
      </c>
      <c r="B6" s="4" t="s">
        <v>10</v>
      </c>
      <c r="C6">
        <v>1</v>
      </c>
      <c r="E6" t="s">
        <v>6</v>
      </c>
    </row>
    <row r="7" spans="1:5" ht="15" hidden="1" x14ac:dyDescent="0.25">
      <c r="A7" s="3">
        <v>2183</v>
      </c>
      <c r="B7" s="4" t="s">
        <v>11</v>
      </c>
      <c r="C7">
        <v>1</v>
      </c>
      <c r="E7" t="s">
        <v>6</v>
      </c>
    </row>
    <row r="8" spans="1:5" ht="15" hidden="1" x14ac:dyDescent="0.25">
      <c r="A8" s="3">
        <v>2646</v>
      </c>
      <c r="B8" s="4" t="s">
        <v>12</v>
      </c>
      <c r="C8">
        <v>1</v>
      </c>
      <c r="E8" t="s">
        <v>6</v>
      </c>
    </row>
    <row r="9" spans="1:5" ht="15" hidden="1" x14ac:dyDescent="0.25">
      <c r="A9" s="3">
        <v>405</v>
      </c>
      <c r="B9" s="4" t="s">
        <v>13</v>
      </c>
      <c r="C9" t="s">
        <v>14</v>
      </c>
      <c r="E9" t="s">
        <v>15</v>
      </c>
    </row>
    <row r="10" spans="1:5" ht="15" hidden="1" x14ac:dyDescent="0.25">
      <c r="A10" s="3">
        <v>1434</v>
      </c>
      <c r="B10" s="4" t="s">
        <v>16</v>
      </c>
      <c r="C10" t="s">
        <v>14</v>
      </c>
      <c r="E10" t="s">
        <v>15</v>
      </c>
    </row>
    <row r="11" spans="1:5" ht="15" hidden="1" x14ac:dyDescent="0.25">
      <c r="A11" s="3">
        <v>2207</v>
      </c>
      <c r="B11" s="4" t="s">
        <v>17</v>
      </c>
      <c r="C11" t="s">
        <v>14</v>
      </c>
      <c r="E11" t="s">
        <v>15</v>
      </c>
    </row>
    <row r="12" spans="1:5" ht="15" hidden="1" x14ac:dyDescent="0.25">
      <c r="A12" s="3">
        <v>2218</v>
      </c>
      <c r="B12" s="4" t="s">
        <v>18</v>
      </c>
      <c r="C12">
        <v>0.12</v>
      </c>
      <c r="E12" t="s">
        <v>6</v>
      </c>
    </row>
    <row r="13" spans="1:5" ht="15" hidden="1" x14ac:dyDescent="0.25">
      <c r="A13" s="7">
        <v>702218</v>
      </c>
      <c r="B13" s="7" t="s">
        <v>19</v>
      </c>
      <c r="C13">
        <v>0.12</v>
      </c>
      <c r="E13" t="s">
        <v>6</v>
      </c>
    </row>
    <row r="14" spans="1:5" ht="15" hidden="1" x14ac:dyDescent="0.25">
      <c r="A14" s="3">
        <v>2205</v>
      </c>
      <c r="B14" s="4" t="s">
        <v>20</v>
      </c>
      <c r="C14">
        <v>0.13700000000000001</v>
      </c>
      <c r="E14" t="s">
        <v>6</v>
      </c>
    </row>
    <row r="15" spans="1:5" ht="15" hidden="1" x14ac:dyDescent="0.25">
      <c r="A15" s="3">
        <v>702205</v>
      </c>
      <c r="B15" s="4" t="s">
        <v>21</v>
      </c>
      <c r="C15">
        <v>0.13700000000000001</v>
      </c>
      <c r="E15" t="s">
        <v>6</v>
      </c>
    </row>
    <row r="16" spans="1:5" ht="15" hidden="1" x14ac:dyDescent="0.25">
      <c r="A16" s="3">
        <v>2180</v>
      </c>
      <c r="B16" s="4" t="s">
        <v>22</v>
      </c>
      <c r="C16">
        <v>0.26200000000000001</v>
      </c>
      <c r="E16" t="s">
        <v>6</v>
      </c>
    </row>
    <row r="17" spans="1:5" ht="15" hidden="1" x14ac:dyDescent="0.25">
      <c r="A17" s="3">
        <v>702180</v>
      </c>
      <c r="B17" s="4" t="s">
        <v>23</v>
      </c>
      <c r="C17">
        <v>0.26200000000000001</v>
      </c>
      <c r="E17" t="s">
        <v>6</v>
      </c>
    </row>
    <row r="18" spans="1:5" ht="15" hidden="1" x14ac:dyDescent="0.25">
      <c r="A18" s="3">
        <v>2494</v>
      </c>
      <c r="B18" s="4" t="s">
        <v>24</v>
      </c>
      <c r="C18">
        <v>0.47</v>
      </c>
      <c r="E18" t="s">
        <v>6</v>
      </c>
    </row>
    <row r="19" spans="1:5" ht="15" hidden="1" x14ac:dyDescent="0.25">
      <c r="A19" s="3">
        <v>702494</v>
      </c>
      <c r="B19" s="4" t="s">
        <v>25</v>
      </c>
      <c r="C19">
        <v>0.47</v>
      </c>
      <c r="E19" t="s">
        <v>6</v>
      </c>
    </row>
    <row r="20" spans="1:5" ht="15" hidden="1" x14ac:dyDescent="0.25">
      <c r="A20" s="3">
        <v>2119</v>
      </c>
      <c r="B20" s="4" t="s">
        <v>26</v>
      </c>
      <c r="C20">
        <v>0.3</v>
      </c>
      <c r="E20" t="s">
        <v>6</v>
      </c>
    </row>
    <row r="21" spans="1:5" ht="15" hidden="1" x14ac:dyDescent="0.25">
      <c r="A21" s="3">
        <v>702119</v>
      </c>
      <c r="B21" s="4" t="s">
        <v>27</v>
      </c>
      <c r="C21">
        <v>0.3</v>
      </c>
      <c r="E21" t="s">
        <v>6</v>
      </c>
    </row>
    <row r="22" spans="1:5" ht="15" hidden="1" x14ac:dyDescent="0.25">
      <c r="A22" s="3">
        <v>2177</v>
      </c>
      <c r="B22" s="4" t="s">
        <v>28</v>
      </c>
      <c r="C22">
        <v>0.26800000000000002</v>
      </c>
      <c r="E22" t="s">
        <v>6</v>
      </c>
    </row>
    <row r="23" spans="1:5" ht="15" hidden="1" x14ac:dyDescent="0.25">
      <c r="A23" s="3">
        <v>702177</v>
      </c>
      <c r="B23" s="4" t="s">
        <v>29</v>
      </c>
      <c r="C23">
        <v>0.26800000000000002</v>
      </c>
      <c r="E23" t="s">
        <v>6</v>
      </c>
    </row>
    <row r="24" spans="1:5" ht="15" hidden="1" x14ac:dyDescent="0.25">
      <c r="A24" s="3">
        <v>2160</v>
      </c>
      <c r="B24" s="4" t="s">
        <v>30</v>
      </c>
      <c r="C24">
        <v>0.81399999999999995</v>
      </c>
      <c r="E24" t="s">
        <v>6</v>
      </c>
    </row>
    <row r="25" spans="1:5" ht="15" hidden="1" x14ac:dyDescent="0.25">
      <c r="A25" s="3">
        <v>702160</v>
      </c>
      <c r="B25" s="4" t="s">
        <v>31</v>
      </c>
      <c r="C25">
        <v>0.81399999999999995</v>
      </c>
      <c r="E25" t="s">
        <v>6</v>
      </c>
    </row>
    <row r="26" spans="1:5" ht="15" hidden="1" x14ac:dyDescent="0.25">
      <c r="A26" s="3">
        <v>2497</v>
      </c>
      <c r="B26" s="4" t="s">
        <v>32</v>
      </c>
      <c r="C26">
        <v>0.59699999999999998</v>
      </c>
      <c r="E26" t="s">
        <v>6</v>
      </c>
    </row>
    <row r="27" spans="1:5" ht="15" hidden="1" x14ac:dyDescent="0.25">
      <c r="A27" s="3">
        <v>702497</v>
      </c>
      <c r="B27" s="4" t="s">
        <v>33</v>
      </c>
      <c r="C27">
        <v>0.59699999999999998</v>
      </c>
      <c r="E27" t="s">
        <v>6</v>
      </c>
    </row>
    <row r="28" spans="1:5" ht="15" hidden="1" x14ac:dyDescent="0.25">
      <c r="A28" s="3">
        <v>2856</v>
      </c>
      <c r="B28" s="4" t="s">
        <v>34</v>
      </c>
      <c r="C28">
        <v>2.2799999999999998</v>
      </c>
      <c r="E28" t="s">
        <v>6</v>
      </c>
    </row>
    <row r="29" spans="1:5" ht="15" hidden="1" x14ac:dyDescent="0.25">
      <c r="A29" s="3">
        <v>702856</v>
      </c>
      <c r="B29" s="4" t="s">
        <v>35</v>
      </c>
      <c r="C29">
        <v>2.2799999999999998</v>
      </c>
      <c r="E29" t="s">
        <v>6</v>
      </c>
    </row>
    <row r="30" spans="1:5" ht="15" hidden="1" x14ac:dyDescent="0.25">
      <c r="A30" s="3">
        <v>2189</v>
      </c>
      <c r="B30" s="4" t="s">
        <v>36</v>
      </c>
      <c r="C30">
        <v>0.432</v>
      </c>
      <c r="E30" t="s">
        <v>6</v>
      </c>
    </row>
    <row r="31" spans="1:5" ht="15" hidden="1" x14ac:dyDescent="0.25">
      <c r="A31" s="3">
        <v>702189</v>
      </c>
      <c r="B31" s="4" t="s">
        <v>37</v>
      </c>
      <c r="C31">
        <v>0.432</v>
      </c>
      <c r="E31" t="s">
        <v>6</v>
      </c>
    </row>
    <row r="32" spans="1:5" ht="15" hidden="1" x14ac:dyDescent="0.25">
      <c r="A32" s="3">
        <v>2746</v>
      </c>
      <c r="B32" s="4" t="s">
        <v>38</v>
      </c>
      <c r="C32">
        <v>1</v>
      </c>
      <c r="E32" t="s">
        <v>6</v>
      </c>
    </row>
    <row r="33" spans="1:5" ht="15" hidden="1" x14ac:dyDescent="0.25">
      <c r="A33" s="3">
        <v>2662</v>
      </c>
      <c r="B33" s="4" t="s">
        <v>39</v>
      </c>
      <c r="C33">
        <v>1</v>
      </c>
      <c r="E33" t="s">
        <v>6</v>
      </c>
    </row>
    <row r="34" spans="1:5" ht="15" hidden="1" x14ac:dyDescent="0.25">
      <c r="A34" s="3">
        <v>2713</v>
      </c>
      <c r="B34" s="4" t="s">
        <v>40</v>
      </c>
      <c r="C34">
        <v>1</v>
      </c>
      <c r="E34" t="s">
        <v>6</v>
      </c>
    </row>
    <row r="35" spans="1:5" ht="15" hidden="1" x14ac:dyDescent="0.25">
      <c r="A35" s="3">
        <v>2178</v>
      </c>
      <c r="B35" s="4" t="s">
        <v>41</v>
      </c>
      <c r="C35">
        <v>0.17499999999999999</v>
      </c>
      <c r="E35" t="s">
        <v>6</v>
      </c>
    </row>
    <row r="36" spans="1:5" ht="15" hidden="1" x14ac:dyDescent="0.25">
      <c r="A36" s="3">
        <v>702178</v>
      </c>
      <c r="B36" s="4" t="s">
        <v>42</v>
      </c>
      <c r="C36">
        <v>0.17499999999999999</v>
      </c>
      <c r="E36" t="s">
        <v>6</v>
      </c>
    </row>
    <row r="37" spans="1:5" ht="15" hidden="1" x14ac:dyDescent="0.25">
      <c r="A37" s="3">
        <v>2120</v>
      </c>
      <c r="B37" s="4" t="s">
        <v>43</v>
      </c>
      <c r="C37">
        <v>0.2</v>
      </c>
      <c r="E37" t="s">
        <v>6</v>
      </c>
    </row>
    <row r="38" spans="1:5" ht="15" hidden="1" x14ac:dyDescent="0.25">
      <c r="A38" s="3">
        <v>702120</v>
      </c>
      <c r="B38" s="4" t="s">
        <v>44</v>
      </c>
      <c r="C38">
        <v>0.2</v>
      </c>
      <c r="E38" t="s">
        <v>6</v>
      </c>
    </row>
    <row r="39" spans="1:5" ht="15" hidden="1" x14ac:dyDescent="0.25">
      <c r="A39" s="3">
        <v>2161</v>
      </c>
      <c r="B39" s="4" t="s">
        <v>45</v>
      </c>
      <c r="C39">
        <v>0.60299999999999998</v>
      </c>
      <c r="E39" t="s">
        <v>6</v>
      </c>
    </row>
    <row r="40" spans="1:5" ht="15" hidden="1" x14ac:dyDescent="0.25">
      <c r="A40" s="3">
        <v>702161</v>
      </c>
      <c r="B40" s="4" t="s">
        <v>46</v>
      </c>
      <c r="C40">
        <v>0.60299999999999998</v>
      </c>
      <c r="E40" t="s">
        <v>6</v>
      </c>
    </row>
    <row r="41" spans="1:5" ht="15" hidden="1" x14ac:dyDescent="0.25">
      <c r="A41" s="3">
        <v>2857</v>
      </c>
      <c r="B41" s="4" t="s">
        <v>47</v>
      </c>
      <c r="C41">
        <v>1.8</v>
      </c>
      <c r="E41" t="s">
        <v>6</v>
      </c>
    </row>
    <row r="42" spans="1:5" ht="15" hidden="1" x14ac:dyDescent="0.25">
      <c r="A42" s="3">
        <v>702857</v>
      </c>
      <c r="B42" s="4" t="s">
        <v>48</v>
      </c>
      <c r="C42">
        <v>1.8</v>
      </c>
      <c r="E42" t="s">
        <v>6</v>
      </c>
    </row>
    <row r="43" spans="1:5" ht="15" hidden="1" x14ac:dyDescent="0.25">
      <c r="A43" s="3">
        <v>2498</v>
      </c>
      <c r="B43" s="4" t="s">
        <v>1220</v>
      </c>
      <c r="C43">
        <v>0.376</v>
      </c>
      <c r="E43" t="s">
        <v>6</v>
      </c>
    </row>
    <row r="44" spans="1:5" ht="15" hidden="1" x14ac:dyDescent="0.25">
      <c r="A44" s="3">
        <v>702498</v>
      </c>
      <c r="B44" s="4" t="s">
        <v>1221</v>
      </c>
      <c r="C44">
        <v>0.376</v>
      </c>
      <c r="E44" t="s">
        <v>6</v>
      </c>
    </row>
    <row r="45" spans="1:5" ht="15" hidden="1" x14ac:dyDescent="0.25">
      <c r="A45" s="3">
        <v>1737</v>
      </c>
      <c r="B45" s="4" t="s">
        <v>49</v>
      </c>
      <c r="C45">
        <v>1</v>
      </c>
      <c r="E45" t="s">
        <v>6</v>
      </c>
    </row>
    <row r="46" spans="1:5" ht="15" hidden="1" x14ac:dyDescent="0.25">
      <c r="A46" s="3">
        <v>1705</v>
      </c>
      <c r="B46" s="4" t="s">
        <v>50</v>
      </c>
      <c r="C46">
        <v>1</v>
      </c>
      <c r="E46" t="s">
        <v>6</v>
      </c>
    </row>
    <row r="47" spans="1:5" ht="15" hidden="1" x14ac:dyDescent="0.25">
      <c r="A47" s="3">
        <v>1746</v>
      </c>
      <c r="B47" s="4" t="s">
        <v>51</v>
      </c>
      <c r="C47">
        <v>1</v>
      </c>
      <c r="E47" t="s">
        <v>6</v>
      </c>
    </row>
    <row r="48" spans="1:5" ht="15" hidden="1" x14ac:dyDescent="0.25">
      <c r="A48" s="3">
        <v>1747</v>
      </c>
      <c r="B48" s="4" t="s">
        <v>52</v>
      </c>
      <c r="C48">
        <v>1</v>
      </c>
      <c r="E48" t="s">
        <v>6</v>
      </c>
    </row>
    <row r="49" spans="1:5" ht="15" hidden="1" x14ac:dyDescent="0.25">
      <c r="A49" s="3">
        <v>1748</v>
      </c>
      <c r="B49" s="4" t="s">
        <v>53</v>
      </c>
      <c r="C49">
        <v>1</v>
      </c>
      <c r="E49" t="s">
        <v>6</v>
      </c>
    </row>
    <row r="50" spans="1:5" ht="15" hidden="1" x14ac:dyDescent="0.25">
      <c r="A50" s="3">
        <v>1704</v>
      </c>
      <c r="B50" s="4" t="s">
        <v>54</v>
      </c>
      <c r="C50">
        <v>1</v>
      </c>
      <c r="E50" t="s">
        <v>6</v>
      </c>
    </row>
    <row r="51" spans="1:5" ht="15" hidden="1" x14ac:dyDescent="0.25">
      <c r="A51" s="3">
        <v>2182</v>
      </c>
      <c r="B51" s="4" t="s">
        <v>55</v>
      </c>
      <c r="C51">
        <v>1</v>
      </c>
      <c r="E51" t="s">
        <v>6</v>
      </c>
    </row>
    <row r="52" spans="1:5" ht="15" hidden="1" x14ac:dyDescent="0.25">
      <c r="A52" s="3">
        <v>402</v>
      </c>
      <c r="B52" s="4" t="s">
        <v>56</v>
      </c>
      <c r="C52" t="s">
        <v>14</v>
      </c>
      <c r="E52" t="s">
        <v>15</v>
      </c>
    </row>
    <row r="53" spans="1:5" ht="15" hidden="1" x14ac:dyDescent="0.25">
      <c r="A53" s="3">
        <v>408</v>
      </c>
      <c r="B53" s="4" t="s">
        <v>57</v>
      </c>
      <c r="C53" t="s">
        <v>14</v>
      </c>
      <c r="E53" t="s">
        <v>15</v>
      </c>
    </row>
    <row r="54" spans="1:5" ht="15" hidden="1" x14ac:dyDescent="0.25">
      <c r="A54" s="3">
        <v>661</v>
      </c>
      <c r="B54" s="4" t="s">
        <v>58</v>
      </c>
      <c r="C54" t="s">
        <v>14</v>
      </c>
      <c r="E54" t="s">
        <v>15</v>
      </c>
    </row>
    <row r="55" spans="1:5" ht="15" hidden="1" x14ac:dyDescent="0.25">
      <c r="A55" s="3">
        <v>538</v>
      </c>
      <c r="B55" s="4" t="s">
        <v>59</v>
      </c>
      <c r="C55" t="s">
        <v>14</v>
      </c>
      <c r="E55" t="s">
        <v>15</v>
      </c>
    </row>
    <row r="56" spans="1:5" ht="15" hidden="1" x14ac:dyDescent="0.25">
      <c r="A56" s="3">
        <v>1850</v>
      </c>
      <c r="B56" s="4" t="s">
        <v>60</v>
      </c>
      <c r="C56" t="s">
        <v>14</v>
      </c>
      <c r="E56" t="s">
        <v>15</v>
      </c>
    </row>
    <row r="57" spans="1:5" ht="15" hidden="1" x14ac:dyDescent="0.25">
      <c r="A57" s="3">
        <v>832040</v>
      </c>
      <c r="B57" s="4" t="s">
        <v>61</v>
      </c>
      <c r="C57">
        <v>1</v>
      </c>
      <c r="E57" t="s">
        <v>6</v>
      </c>
    </row>
    <row r="58" spans="1:5" ht="15" hidden="1" x14ac:dyDescent="0.25">
      <c r="A58" s="3">
        <v>932040</v>
      </c>
      <c r="B58" s="4" t="s">
        <v>62</v>
      </c>
      <c r="C58">
        <v>1</v>
      </c>
      <c r="E58" t="s">
        <v>6</v>
      </c>
    </row>
    <row r="59" spans="1:5" ht="15" hidden="1" x14ac:dyDescent="0.25">
      <c r="A59" s="3">
        <v>832545</v>
      </c>
      <c r="B59" s="4" t="s">
        <v>63</v>
      </c>
      <c r="C59">
        <v>1</v>
      </c>
      <c r="E59" t="s">
        <v>6</v>
      </c>
    </row>
    <row r="60" spans="1:5" ht="15" hidden="1" x14ac:dyDescent="0.25">
      <c r="A60" s="3">
        <v>932537</v>
      </c>
      <c r="B60" s="4" t="s">
        <v>64</v>
      </c>
      <c r="C60">
        <v>1</v>
      </c>
      <c r="E60" t="s">
        <v>6</v>
      </c>
    </row>
    <row r="61" spans="1:5" ht="15" hidden="1" x14ac:dyDescent="0.25">
      <c r="A61" s="3">
        <v>832790</v>
      </c>
      <c r="B61" s="4" t="s">
        <v>65</v>
      </c>
      <c r="C61">
        <v>1</v>
      </c>
      <c r="E61" t="s">
        <v>6</v>
      </c>
    </row>
    <row r="62" spans="1:5" ht="15" hidden="1" x14ac:dyDescent="0.25">
      <c r="A62" s="3">
        <v>932790</v>
      </c>
      <c r="B62" s="4" t="s">
        <v>66</v>
      </c>
      <c r="C62">
        <v>1</v>
      </c>
      <c r="E62" t="s">
        <v>6</v>
      </c>
    </row>
    <row r="63" spans="1:5" ht="15" hidden="1" x14ac:dyDescent="0.25">
      <c r="A63" s="3">
        <v>833010</v>
      </c>
      <c r="B63" s="4" t="s">
        <v>67</v>
      </c>
      <c r="C63">
        <v>1</v>
      </c>
      <c r="E63" t="s">
        <v>6</v>
      </c>
    </row>
    <row r="64" spans="1:5" ht="15" hidden="1" x14ac:dyDescent="0.25">
      <c r="A64" s="3">
        <v>833011</v>
      </c>
      <c r="B64" s="4" t="s">
        <v>68</v>
      </c>
      <c r="C64">
        <v>1</v>
      </c>
      <c r="E64" t="s">
        <v>6</v>
      </c>
    </row>
    <row r="65" spans="1:5" ht="15" hidden="1" x14ac:dyDescent="0.25">
      <c r="A65" s="3">
        <v>833012</v>
      </c>
      <c r="B65" s="4" t="s">
        <v>69</v>
      </c>
      <c r="C65">
        <v>1</v>
      </c>
      <c r="E65" t="s">
        <v>6</v>
      </c>
    </row>
    <row r="66" spans="1:5" ht="15" hidden="1" x14ac:dyDescent="0.25">
      <c r="A66" s="3">
        <v>833040</v>
      </c>
      <c r="B66" s="4" t="s">
        <v>70</v>
      </c>
      <c r="C66">
        <v>1</v>
      </c>
      <c r="E66" t="s">
        <v>6</v>
      </c>
    </row>
    <row r="67" spans="1:5" ht="15" hidden="1" x14ac:dyDescent="0.25">
      <c r="A67" s="3">
        <v>833045</v>
      </c>
      <c r="B67" s="4" t="s">
        <v>71</v>
      </c>
      <c r="C67">
        <v>1</v>
      </c>
      <c r="E67" t="s">
        <v>6</v>
      </c>
    </row>
    <row r="68" spans="1:5" ht="15" hidden="1" x14ac:dyDescent="0.25">
      <c r="A68" s="3">
        <v>833050</v>
      </c>
      <c r="B68" s="4" t="s">
        <v>72</v>
      </c>
      <c r="C68">
        <v>1</v>
      </c>
      <c r="E68" t="s">
        <v>6</v>
      </c>
    </row>
    <row r="69" spans="1:5" ht="15" hidden="1" x14ac:dyDescent="0.25">
      <c r="A69" s="3">
        <v>833060</v>
      </c>
      <c r="B69" s="4" t="s">
        <v>73</v>
      </c>
      <c r="C69">
        <v>1</v>
      </c>
      <c r="E69" t="s">
        <v>6</v>
      </c>
    </row>
    <row r="70" spans="1:5" ht="15" hidden="1" x14ac:dyDescent="0.25">
      <c r="A70" s="3">
        <v>833065</v>
      </c>
      <c r="B70" s="4" t="s">
        <v>74</v>
      </c>
      <c r="C70">
        <v>1</v>
      </c>
      <c r="E70" t="s">
        <v>6</v>
      </c>
    </row>
    <row r="71" spans="1:5" ht="15" hidden="1" x14ac:dyDescent="0.25">
      <c r="A71" s="3">
        <v>833070</v>
      </c>
      <c r="B71" s="4" t="s">
        <v>75</v>
      </c>
      <c r="C71">
        <v>1</v>
      </c>
      <c r="E71" t="s">
        <v>6</v>
      </c>
    </row>
    <row r="72" spans="1:5" ht="15" hidden="1" x14ac:dyDescent="0.25">
      <c r="A72" s="3">
        <v>833080</v>
      </c>
      <c r="B72" s="4" t="s">
        <v>76</v>
      </c>
      <c r="C72">
        <v>1</v>
      </c>
      <c r="E72" t="s">
        <v>6</v>
      </c>
    </row>
    <row r="73" spans="1:5" ht="15" hidden="1" x14ac:dyDescent="0.25">
      <c r="A73" s="3">
        <v>833090</v>
      </c>
      <c r="B73" s="4" t="s">
        <v>77</v>
      </c>
      <c r="C73">
        <v>1</v>
      </c>
      <c r="E73" t="s">
        <v>6</v>
      </c>
    </row>
    <row r="74" spans="1:5" ht="15" hidden="1" x14ac:dyDescent="0.25">
      <c r="A74" s="3">
        <v>833095</v>
      </c>
      <c r="B74" s="4" t="s">
        <v>78</v>
      </c>
      <c r="C74">
        <v>1</v>
      </c>
      <c r="E74" t="s">
        <v>6</v>
      </c>
    </row>
    <row r="75" spans="1:5" ht="15" hidden="1" x14ac:dyDescent="0.25">
      <c r="A75" s="3">
        <v>933010</v>
      </c>
      <c r="B75" s="4" t="s">
        <v>79</v>
      </c>
      <c r="C75">
        <v>1</v>
      </c>
      <c r="E75" t="s">
        <v>6</v>
      </c>
    </row>
    <row r="76" spans="1:5" ht="15" hidden="1" x14ac:dyDescent="0.25">
      <c r="A76" s="3">
        <v>933011</v>
      </c>
      <c r="B76" s="4" t="s">
        <v>80</v>
      </c>
      <c r="C76">
        <v>1</v>
      </c>
      <c r="E76" t="s">
        <v>6</v>
      </c>
    </row>
    <row r="77" spans="1:5" ht="15" hidden="1" x14ac:dyDescent="0.25">
      <c r="A77" s="3">
        <v>933012</v>
      </c>
      <c r="B77" s="4" t="s">
        <v>81</v>
      </c>
      <c r="C77">
        <v>1</v>
      </c>
      <c r="E77" t="s">
        <v>6</v>
      </c>
    </row>
    <row r="78" spans="1:5" ht="15" hidden="1" x14ac:dyDescent="0.25">
      <c r="A78" s="3">
        <v>933040</v>
      </c>
      <c r="B78" s="4" t="s">
        <v>82</v>
      </c>
      <c r="C78">
        <v>1</v>
      </c>
      <c r="E78" t="s">
        <v>6</v>
      </c>
    </row>
    <row r="79" spans="1:5" ht="15" hidden="1" x14ac:dyDescent="0.25">
      <c r="A79" s="3">
        <v>933045</v>
      </c>
      <c r="B79" s="4" t="s">
        <v>83</v>
      </c>
      <c r="C79">
        <v>1</v>
      </c>
      <c r="E79" t="s">
        <v>6</v>
      </c>
    </row>
    <row r="80" spans="1:5" ht="15" hidden="1" x14ac:dyDescent="0.25">
      <c r="A80" s="3">
        <v>933050</v>
      </c>
      <c r="B80" s="4" t="s">
        <v>84</v>
      </c>
      <c r="C80">
        <v>1</v>
      </c>
      <c r="E80" t="s">
        <v>6</v>
      </c>
    </row>
    <row r="81" spans="1:5" ht="15" hidden="1" x14ac:dyDescent="0.25">
      <c r="A81" s="3">
        <v>933060</v>
      </c>
      <c r="B81" s="4" t="s">
        <v>85</v>
      </c>
      <c r="C81">
        <v>1</v>
      </c>
      <c r="E81" t="s">
        <v>6</v>
      </c>
    </row>
    <row r="82" spans="1:5" ht="15" hidden="1" x14ac:dyDescent="0.25">
      <c r="A82" s="3">
        <v>933065</v>
      </c>
      <c r="B82" s="4" t="s">
        <v>86</v>
      </c>
      <c r="C82">
        <v>1</v>
      </c>
      <c r="E82" t="s">
        <v>6</v>
      </c>
    </row>
    <row r="83" spans="1:5" ht="15" hidden="1" x14ac:dyDescent="0.25">
      <c r="A83" s="3">
        <v>933070</v>
      </c>
      <c r="B83" s="4" t="s">
        <v>87</v>
      </c>
      <c r="C83">
        <v>1</v>
      </c>
      <c r="E83" t="s">
        <v>6</v>
      </c>
    </row>
    <row r="84" spans="1:5" ht="15" hidden="1" x14ac:dyDescent="0.25">
      <c r="A84" s="3">
        <v>933080</v>
      </c>
      <c r="B84" s="4" t="s">
        <v>88</v>
      </c>
      <c r="C84">
        <v>1</v>
      </c>
      <c r="E84" t="s">
        <v>6</v>
      </c>
    </row>
    <row r="85" spans="1:5" ht="15" hidden="1" x14ac:dyDescent="0.25">
      <c r="A85" s="3">
        <v>933090</v>
      </c>
      <c r="B85" s="4" t="s">
        <v>89</v>
      </c>
      <c r="C85">
        <v>1</v>
      </c>
      <c r="E85" t="s">
        <v>6</v>
      </c>
    </row>
    <row r="86" spans="1:5" ht="15" hidden="1" x14ac:dyDescent="0.25">
      <c r="A86" s="3">
        <v>833245</v>
      </c>
      <c r="B86" s="4" t="s">
        <v>90</v>
      </c>
      <c r="C86">
        <v>1</v>
      </c>
      <c r="E86" t="s">
        <v>6</v>
      </c>
    </row>
    <row r="87" spans="1:5" ht="15" hidden="1" x14ac:dyDescent="0.25">
      <c r="A87" s="3">
        <v>833270</v>
      </c>
      <c r="B87" s="4" t="s">
        <v>91</v>
      </c>
      <c r="C87">
        <v>1</v>
      </c>
      <c r="E87" t="s">
        <v>6</v>
      </c>
    </row>
    <row r="88" spans="1:5" ht="15" hidden="1" x14ac:dyDescent="0.25">
      <c r="A88" s="3">
        <v>933270</v>
      </c>
      <c r="B88" s="4" t="s">
        <v>92</v>
      </c>
      <c r="C88">
        <v>1</v>
      </c>
      <c r="E88" t="s">
        <v>6</v>
      </c>
    </row>
    <row r="89" spans="1:5" ht="15" hidden="1" x14ac:dyDescent="0.25">
      <c r="A89" s="3">
        <v>833510</v>
      </c>
      <c r="B89" s="4" t="s">
        <v>93</v>
      </c>
      <c r="C89">
        <v>1</v>
      </c>
      <c r="E89" t="s">
        <v>6</v>
      </c>
    </row>
    <row r="90" spans="1:5" ht="15" hidden="1" x14ac:dyDescent="0.25">
      <c r="A90" s="3">
        <v>833540</v>
      </c>
      <c r="B90" s="4" t="s">
        <v>94</v>
      </c>
      <c r="C90">
        <v>1</v>
      </c>
      <c r="E90" t="s">
        <v>6</v>
      </c>
    </row>
    <row r="91" spans="1:5" ht="15" hidden="1" x14ac:dyDescent="0.25">
      <c r="A91" s="3">
        <v>833550</v>
      </c>
      <c r="B91" s="4" t="s">
        <v>95</v>
      </c>
      <c r="C91">
        <v>1</v>
      </c>
      <c r="E91" t="s">
        <v>6</v>
      </c>
    </row>
    <row r="92" spans="1:5" ht="15" hidden="1" x14ac:dyDescent="0.25">
      <c r="A92" s="3">
        <v>833560</v>
      </c>
      <c r="B92" s="4" t="s">
        <v>96</v>
      </c>
      <c r="C92">
        <v>1</v>
      </c>
      <c r="E92" t="s">
        <v>6</v>
      </c>
    </row>
    <row r="93" spans="1:5" ht="15" hidden="1" x14ac:dyDescent="0.25">
      <c r="A93" s="3">
        <v>833565</v>
      </c>
      <c r="B93" s="4" t="s">
        <v>97</v>
      </c>
      <c r="C93">
        <v>1</v>
      </c>
      <c r="E93" t="s">
        <v>6</v>
      </c>
    </row>
    <row r="94" spans="1:5" ht="15" hidden="1" x14ac:dyDescent="0.25">
      <c r="A94" s="3">
        <v>833570</v>
      </c>
      <c r="B94" s="4" t="s">
        <v>98</v>
      </c>
      <c r="C94">
        <v>1</v>
      </c>
      <c r="E94" t="s">
        <v>6</v>
      </c>
    </row>
    <row r="95" spans="1:5" ht="15" hidden="1" x14ac:dyDescent="0.25">
      <c r="A95" s="3">
        <v>933510</v>
      </c>
      <c r="B95" s="4" t="s">
        <v>99</v>
      </c>
      <c r="C95">
        <v>1</v>
      </c>
      <c r="E95" t="s">
        <v>6</v>
      </c>
    </row>
    <row r="96" spans="1:5" ht="15" hidden="1" x14ac:dyDescent="0.25">
      <c r="A96" s="3">
        <v>933540</v>
      </c>
      <c r="B96" s="4" t="s">
        <v>100</v>
      </c>
      <c r="C96">
        <v>1</v>
      </c>
      <c r="E96" t="s">
        <v>6</v>
      </c>
    </row>
    <row r="97" spans="1:5" ht="15" hidden="1" x14ac:dyDescent="0.25">
      <c r="A97" s="3">
        <v>933545</v>
      </c>
      <c r="B97" s="4" t="s">
        <v>101</v>
      </c>
      <c r="C97">
        <v>1</v>
      </c>
      <c r="E97" t="s">
        <v>6</v>
      </c>
    </row>
    <row r="98" spans="1:5" ht="15" hidden="1" x14ac:dyDescent="0.25">
      <c r="A98" s="3">
        <v>933550</v>
      </c>
      <c r="B98" s="4" t="s">
        <v>102</v>
      </c>
      <c r="C98">
        <v>1</v>
      </c>
      <c r="E98" t="s">
        <v>6</v>
      </c>
    </row>
    <row r="99" spans="1:5" ht="15" hidden="1" x14ac:dyDescent="0.25">
      <c r="A99" s="3">
        <v>933555</v>
      </c>
      <c r="B99" s="4" t="s">
        <v>103</v>
      </c>
      <c r="C99">
        <v>1</v>
      </c>
      <c r="E99" t="s">
        <v>6</v>
      </c>
    </row>
    <row r="100" spans="1:5" ht="15" hidden="1" x14ac:dyDescent="0.25">
      <c r="A100" s="3">
        <v>933560</v>
      </c>
      <c r="B100" s="4" t="s">
        <v>104</v>
      </c>
      <c r="C100">
        <v>1</v>
      </c>
      <c r="E100" t="s">
        <v>6</v>
      </c>
    </row>
    <row r="101" spans="1:5" ht="15" hidden="1" x14ac:dyDescent="0.25">
      <c r="A101" s="3">
        <v>933565</v>
      </c>
      <c r="B101" s="4" t="s">
        <v>105</v>
      </c>
      <c r="C101">
        <v>1</v>
      </c>
      <c r="E101" t="s">
        <v>6</v>
      </c>
    </row>
    <row r="102" spans="1:5" ht="15" hidden="1" x14ac:dyDescent="0.25">
      <c r="A102" s="3">
        <v>933570</v>
      </c>
      <c r="B102" s="4" t="s">
        <v>106</v>
      </c>
      <c r="C102">
        <v>1</v>
      </c>
      <c r="E102" t="s">
        <v>6</v>
      </c>
    </row>
    <row r="103" spans="1:5" ht="15" hidden="1" x14ac:dyDescent="0.25">
      <c r="A103" s="3">
        <v>833750</v>
      </c>
      <c r="B103" s="4" t="s">
        <v>107</v>
      </c>
      <c r="C103">
        <v>1</v>
      </c>
      <c r="E103" t="s">
        <v>6</v>
      </c>
    </row>
    <row r="104" spans="1:5" ht="15" hidden="1" x14ac:dyDescent="0.25">
      <c r="A104" s="3">
        <v>833770</v>
      </c>
      <c r="B104" s="4" t="s">
        <v>108</v>
      </c>
      <c r="C104">
        <v>1</v>
      </c>
      <c r="E104" t="s">
        <v>6</v>
      </c>
    </row>
    <row r="105" spans="1:5" ht="15" hidden="1" x14ac:dyDescent="0.25">
      <c r="A105" s="3">
        <v>933742</v>
      </c>
      <c r="B105" s="4" t="s">
        <v>109</v>
      </c>
      <c r="C105">
        <v>1</v>
      </c>
      <c r="E105" t="s">
        <v>6</v>
      </c>
    </row>
    <row r="106" spans="1:5" ht="15" hidden="1" x14ac:dyDescent="0.25">
      <c r="A106" s="3">
        <v>933750</v>
      </c>
      <c r="B106" s="4" t="s">
        <v>110</v>
      </c>
      <c r="C106">
        <v>1</v>
      </c>
      <c r="E106" t="s">
        <v>6</v>
      </c>
    </row>
    <row r="107" spans="1:5" ht="15" hidden="1" x14ac:dyDescent="0.25">
      <c r="A107" s="3">
        <v>933770</v>
      </c>
      <c r="B107" s="4" t="s">
        <v>111</v>
      </c>
      <c r="C107">
        <v>1</v>
      </c>
      <c r="E107" t="s">
        <v>6</v>
      </c>
    </row>
    <row r="108" spans="1:5" ht="15" hidden="1" x14ac:dyDescent="0.25">
      <c r="A108" s="3">
        <v>834010</v>
      </c>
      <c r="B108" s="4" t="s">
        <v>112</v>
      </c>
      <c r="C108">
        <v>1</v>
      </c>
      <c r="E108" t="s">
        <v>6</v>
      </c>
    </row>
    <row r="109" spans="1:5" ht="15" hidden="1" x14ac:dyDescent="0.25">
      <c r="A109" s="3">
        <v>834012</v>
      </c>
      <c r="B109" s="4" t="s">
        <v>113</v>
      </c>
      <c r="C109">
        <v>1</v>
      </c>
      <c r="E109" t="s">
        <v>6</v>
      </c>
    </row>
    <row r="110" spans="1:5" ht="15" hidden="1" x14ac:dyDescent="0.25">
      <c r="A110" s="3">
        <v>834047</v>
      </c>
      <c r="B110" s="4" t="s">
        <v>114</v>
      </c>
      <c r="C110">
        <v>1</v>
      </c>
      <c r="E110" t="s">
        <v>6</v>
      </c>
    </row>
    <row r="111" spans="1:5" ht="15" hidden="1" x14ac:dyDescent="0.25">
      <c r="A111" s="3">
        <v>834050</v>
      </c>
      <c r="B111" s="4" t="s">
        <v>115</v>
      </c>
      <c r="C111">
        <v>1</v>
      </c>
      <c r="E111" t="s">
        <v>6</v>
      </c>
    </row>
    <row r="112" spans="1:5" ht="15" hidden="1" x14ac:dyDescent="0.25">
      <c r="A112" s="3">
        <v>834060</v>
      </c>
      <c r="B112" s="4" t="s">
        <v>116</v>
      </c>
      <c r="C112">
        <v>1</v>
      </c>
      <c r="E112" t="s">
        <v>6</v>
      </c>
    </row>
    <row r="113" spans="1:5" ht="15" hidden="1" x14ac:dyDescent="0.25">
      <c r="A113" s="3">
        <v>834065</v>
      </c>
      <c r="B113" s="4" t="s">
        <v>117</v>
      </c>
      <c r="C113">
        <v>1</v>
      </c>
      <c r="E113" t="s">
        <v>6</v>
      </c>
    </row>
    <row r="114" spans="1:5" ht="15" hidden="1" x14ac:dyDescent="0.25">
      <c r="A114" s="3">
        <v>834070</v>
      </c>
      <c r="B114" s="4" t="s">
        <v>118</v>
      </c>
      <c r="C114">
        <v>1</v>
      </c>
      <c r="E114" t="s">
        <v>6</v>
      </c>
    </row>
    <row r="115" spans="1:5" ht="15" hidden="1" x14ac:dyDescent="0.25">
      <c r="A115" s="3">
        <v>834075</v>
      </c>
      <c r="B115" s="4" t="s">
        <v>119</v>
      </c>
      <c r="C115">
        <v>1</v>
      </c>
      <c r="E115" t="s">
        <v>6</v>
      </c>
    </row>
    <row r="116" spans="1:5" ht="15" hidden="1" x14ac:dyDescent="0.25">
      <c r="A116" s="3">
        <v>834080</v>
      </c>
      <c r="B116" s="4" t="s">
        <v>120</v>
      </c>
      <c r="C116">
        <v>1</v>
      </c>
      <c r="E116" t="s">
        <v>6</v>
      </c>
    </row>
    <row r="117" spans="1:5" ht="15" hidden="1" x14ac:dyDescent="0.25">
      <c r="A117" s="3">
        <v>834090</v>
      </c>
      <c r="B117" s="4" t="s">
        <v>121</v>
      </c>
      <c r="C117">
        <v>1</v>
      </c>
      <c r="E117" t="s">
        <v>6</v>
      </c>
    </row>
    <row r="118" spans="1:5" ht="15" hidden="1" x14ac:dyDescent="0.25">
      <c r="A118" s="3">
        <v>934010</v>
      </c>
      <c r="B118" s="4" t="s">
        <v>122</v>
      </c>
      <c r="C118">
        <v>1</v>
      </c>
      <c r="E118" t="s">
        <v>6</v>
      </c>
    </row>
    <row r="119" spans="1:5" ht="15" hidden="1" x14ac:dyDescent="0.25">
      <c r="A119" s="3">
        <v>934012</v>
      </c>
      <c r="B119" s="4" t="s">
        <v>123</v>
      </c>
      <c r="C119">
        <v>1</v>
      </c>
      <c r="E119" t="s">
        <v>6</v>
      </c>
    </row>
    <row r="120" spans="1:5" ht="15" hidden="1" x14ac:dyDescent="0.25">
      <c r="A120" s="3">
        <v>934050</v>
      </c>
      <c r="B120" s="4" t="s">
        <v>124</v>
      </c>
      <c r="C120">
        <v>1</v>
      </c>
      <c r="E120" t="s">
        <v>6</v>
      </c>
    </row>
    <row r="121" spans="1:5" ht="15" hidden="1" x14ac:dyDescent="0.25">
      <c r="A121" s="3">
        <v>934060</v>
      </c>
      <c r="B121" s="4" t="s">
        <v>125</v>
      </c>
      <c r="C121">
        <v>1</v>
      </c>
      <c r="E121" t="s">
        <v>6</v>
      </c>
    </row>
    <row r="122" spans="1:5" ht="15" hidden="1" x14ac:dyDescent="0.25">
      <c r="A122" s="3">
        <v>934065</v>
      </c>
      <c r="B122" s="4" t="s">
        <v>126</v>
      </c>
      <c r="C122">
        <v>1</v>
      </c>
      <c r="E122" t="s">
        <v>6</v>
      </c>
    </row>
    <row r="123" spans="1:5" ht="15" hidden="1" x14ac:dyDescent="0.25">
      <c r="A123" s="3">
        <v>934070</v>
      </c>
      <c r="B123" s="4" t="s">
        <v>127</v>
      </c>
      <c r="C123">
        <v>1</v>
      </c>
      <c r="E123" t="s">
        <v>6</v>
      </c>
    </row>
    <row r="124" spans="1:5" ht="15" hidden="1" x14ac:dyDescent="0.25">
      <c r="A124" s="3">
        <v>934075</v>
      </c>
      <c r="B124" s="4" t="s">
        <v>128</v>
      </c>
      <c r="C124">
        <v>1</v>
      </c>
      <c r="E124" t="s">
        <v>6</v>
      </c>
    </row>
    <row r="125" spans="1:5" ht="15" hidden="1" x14ac:dyDescent="0.25">
      <c r="A125" s="3">
        <v>934080</v>
      </c>
      <c r="B125" s="4" t="s">
        <v>129</v>
      </c>
      <c r="C125">
        <v>1</v>
      </c>
      <c r="E125" t="s">
        <v>6</v>
      </c>
    </row>
    <row r="126" spans="1:5" ht="15" hidden="1" x14ac:dyDescent="0.25">
      <c r="A126" s="3">
        <v>934090</v>
      </c>
      <c r="B126" s="4" t="s">
        <v>130</v>
      </c>
      <c r="C126">
        <v>1</v>
      </c>
      <c r="E126" t="s">
        <v>6</v>
      </c>
    </row>
    <row r="127" spans="1:5" ht="15" hidden="1" x14ac:dyDescent="0.25">
      <c r="A127" s="3">
        <v>934095</v>
      </c>
      <c r="B127" s="4" t="s">
        <v>131</v>
      </c>
      <c r="C127">
        <v>1</v>
      </c>
      <c r="E127" t="s">
        <v>6</v>
      </c>
    </row>
    <row r="128" spans="1:5" ht="15" hidden="1" x14ac:dyDescent="0.25">
      <c r="A128" s="3">
        <v>834550</v>
      </c>
      <c r="B128" s="4" t="s">
        <v>132</v>
      </c>
      <c r="C128">
        <v>1</v>
      </c>
      <c r="E128" t="s">
        <v>6</v>
      </c>
    </row>
    <row r="129" spans="1:5" ht="15" hidden="1" x14ac:dyDescent="0.25">
      <c r="A129" s="3">
        <v>834560</v>
      </c>
      <c r="B129" s="4" t="s">
        <v>133</v>
      </c>
      <c r="C129">
        <v>1</v>
      </c>
      <c r="E129" t="s">
        <v>6</v>
      </c>
    </row>
    <row r="130" spans="1:5" ht="15" hidden="1" x14ac:dyDescent="0.25">
      <c r="A130" s="3">
        <v>834565</v>
      </c>
      <c r="B130" s="4" t="s">
        <v>134</v>
      </c>
      <c r="C130">
        <v>1</v>
      </c>
      <c r="E130" t="s">
        <v>6</v>
      </c>
    </row>
    <row r="131" spans="1:5" ht="15" hidden="1" x14ac:dyDescent="0.25">
      <c r="A131" s="3">
        <v>834570</v>
      </c>
      <c r="B131" s="4" t="s">
        <v>135</v>
      </c>
      <c r="C131">
        <v>1</v>
      </c>
      <c r="E131" t="s">
        <v>6</v>
      </c>
    </row>
    <row r="132" spans="1:5" ht="15" hidden="1" x14ac:dyDescent="0.25">
      <c r="A132" s="3">
        <v>834575</v>
      </c>
      <c r="B132" s="4" t="s">
        <v>136</v>
      </c>
      <c r="C132">
        <v>1</v>
      </c>
      <c r="E132" t="s">
        <v>6</v>
      </c>
    </row>
    <row r="133" spans="1:5" ht="15" hidden="1" x14ac:dyDescent="0.25">
      <c r="A133" s="3">
        <v>834580</v>
      </c>
      <c r="B133" s="4" t="s">
        <v>137</v>
      </c>
      <c r="C133">
        <v>1</v>
      </c>
      <c r="E133" t="s">
        <v>6</v>
      </c>
    </row>
    <row r="134" spans="1:5" ht="15" hidden="1" x14ac:dyDescent="0.25">
      <c r="A134" s="3">
        <v>934550</v>
      </c>
      <c r="B134" s="4" t="s">
        <v>138</v>
      </c>
      <c r="C134">
        <v>1</v>
      </c>
      <c r="E134" t="s">
        <v>6</v>
      </c>
    </row>
    <row r="135" spans="1:5" ht="15" hidden="1" x14ac:dyDescent="0.25">
      <c r="A135" s="3">
        <v>934555</v>
      </c>
      <c r="B135" s="4" t="s">
        <v>139</v>
      </c>
      <c r="C135">
        <v>1</v>
      </c>
      <c r="E135" t="s">
        <v>6</v>
      </c>
    </row>
    <row r="136" spans="1:5" ht="15" hidden="1" x14ac:dyDescent="0.25">
      <c r="A136" s="3">
        <v>934560</v>
      </c>
      <c r="B136" s="4" t="s">
        <v>140</v>
      </c>
      <c r="C136">
        <v>1</v>
      </c>
      <c r="E136" t="s">
        <v>6</v>
      </c>
    </row>
    <row r="137" spans="1:5" ht="15" hidden="1" x14ac:dyDescent="0.25">
      <c r="A137" s="3">
        <v>851000000845</v>
      </c>
      <c r="B137" s="4" t="s">
        <v>141</v>
      </c>
      <c r="C137" t="s">
        <v>14</v>
      </c>
      <c r="E137" t="s">
        <v>15</v>
      </c>
    </row>
    <row r="138" spans="1:5" ht="15" hidden="1" x14ac:dyDescent="0.25">
      <c r="A138" s="3">
        <v>934565</v>
      </c>
      <c r="B138" s="4" t="s">
        <v>141</v>
      </c>
      <c r="C138">
        <v>1</v>
      </c>
      <c r="E138" t="s">
        <v>6</v>
      </c>
    </row>
    <row r="139" spans="1:5" ht="15" hidden="1" x14ac:dyDescent="0.25">
      <c r="A139" s="3">
        <v>934570</v>
      </c>
      <c r="B139" s="4" t="s">
        <v>142</v>
      </c>
      <c r="C139">
        <v>1</v>
      </c>
      <c r="E139" t="s">
        <v>6</v>
      </c>
    </row>
    <row r="140" spans="1:5" ht="15" hidden="1" x14ac:dyDescent="0.25">
      <c r="A140" s="3">
        <v>934575</v>
      </c>
      <c r="B140" s="4" t="s">
        <v>143</v>
      </c>
      <c r="C140">
        <v>1</v>
      </c>
      <c r="E140" t="s">
        <v>6</v>
      </c>
    </row>
    <row r="141" spans="1:5" ht="15" hidden="1" x14ac:dyDescent="0.25">
      <c r="A141" s="3">
        <v>934580</v>
      </c>
      <c r="B141" s="4" t="s">
        <v>144</v>
      </c>
      <c r="C141">
        <v>1</v>
      </c>
      <c r="E141" t="s">
        <v>6</v>
      </c>
    </row>
    <row r="142" spans="1:5" ht="15" hidden="1" x14ac:dyDescent="0.25">
      <c r="A142" s="3">
        <v>934585</v>
      </c>
      <c r="B142" s="4" t="s">
        <v>145</v>
      </c>
      <c r="C142">
        <v>1</v>
      </c>
      <c r="E142" t="s">
        <v>6</v>
      </c>
    </row>
    <row r="143" spans="1:5" ht="15" hidden="1" x14ac:dyDescent="0.25">
      <c r="A143" s="3">
        <v>835010</v>
      </c>
      <c r="B143" s="4" t="s">
        <v>146</v>
      </c>
      <c r="C143">
        <v>1</v>
      </c>
      <c r="E143" t="s">
        <v>6</v>
      </c>
    </row>
    <row r="144" spans="1:5" ht="15" hidden="1" x14ac:dyDescent="0.25">
      <c r="A144" s="3">
        <v>835012</v>
      </c>
      <c r="B144" s="4" t="s">
        <v>147</v>
      </c>
      <c r="C144">
        <v>1</v>
      </c>
      <c r="E144" t="s">
        <v>6</v>
      </c>
    </row>
    <row r="145" spans="1:5" ht="15" hidden="1" x14ac:dyDescent="0.25">
      <c r="A145" s="3">
        <v>835055</v>
      </c>
      <c r="B145" s="4" t="s">
        <v>148</v>
      </c>
      <c r="C145" s="5">
        <v>1</v>
      </c>
      <c r="E145" t="s">
        <v>6</v>
      </c>
    </row>
    <row r="146" spans="1:5" ht="15" hidden="1" x14ac:dyDescent="0.25">
      <c r="A146" s="3">
        <v>835060</v>
      </c>
      <c r="B146" s="4" t="s">
        <v>149</v>
      </c>
      <c r="C146">
        <v>1</v>
      </c>
      <c r="E146" t="s">
        <v>6</v>
      </c>
    </row>
    <row r="147" spans="1:5" ht="15" hidden="1" x14ac:dyDescent="0.25">
      <c r="A147" s="3">
        <v>937080000000563</v>
      </c>
      <c r="B147" s="4" t="s">
        <v>149</v>
      </c>
      <c r="C147" t="s">
        <v>14</v>
      </c>
      <c r="E147" t="s">
        <v>15</v>
      </c>
    </row>
    <row r="148" spans="1:5" ht="15" hidden="1" x14ac:dyDescent="0.25">
      <c r="A148" s="3">
        <v>835065</v>
      </c>
      <c r="B148" s="4" t="s">
        <v>150</v>
      </c>
      <c r="C148">
        <v>1</v>
      </c>
      <c r="E148" t="s">
        <v>6</v>
      </c>
    </row>
    <row r="149" spans="1:5" ht="15" hidden="1" x14ac:dyDescent="0.25">
      <c r="A149" s="3">
        <v>835070</v>
      </c>
      <c r="B149" s="4" t="s">
        <v>151</v>
      </c>
      <c r="C149">
        <v>1</v>
      </c>
      <c r="E149" t="s">
        <v>6</v>
      </c>
    </row>
    <row r="150" spans="1:5" ht="15" hidden="1" x14ac:dyDescent="0.25">
      <c r="A150" s="3">
        <v>835080</v>
      </c>
      <c r="B150" s="4" t="s">
        <v>152</v>
      </c>
      <c r="C150">
        <v>1</v>
      </c>
      <c r="E150" t="s">
        <v>6</v>
      </c>
    </row>
    <row r="151" spans="1:5" ht="15" hidden="1" x14ac:dyDescent="0.25">
      <c r="A151" s="3">
        <v>835090</v>
      </c>
      <c r="B151" s="4" t="s">
        <v>153</v>
      </c>
      <c r="C151">
        <v>1</v>
      </c>
      <c r="E151" t="s">
        <v>6</v>
      </c>
    </row>
    <row r="152" spans="1:5" ht="15" hidden="1" x14ac:dyDescent="0.25">
      <c r="A152" s="3">
        <v>935010</v>
      </c>
      <c r="B152" s="4" t="s">
        <v>154</v>
      </c>
      <c r="C152">
        <v>1</v>
      </c>
      <c r="E152" t="s">
        <v>6</v>
      </c>
    </row>
    <row r="153" spans="1:5" ht="15" hidden="1" x14ac:dyDescent="0.25">
      <c r="A153" s="3">
        <v>935012</v>
      </c>
      <c r="B153" s="4" t="s">
        <v>155</v>
      </c>
      <c r="C153">
        <v>1</v>
      </c>
      <c r="E153" t="s">
        <v>6</v>
      </c>
    </row>
    <row r="154" spans="1:5" ht="15" hidden="1" x14ac:dyDescent="0.25">
      <c r="A154" s="3">
        <v>935055</v>
      </c>
      <c r="B154" s="4" t="s">
        <v>156</v>
      </c>
      <c r="C154">
        <v>1</v>
      </c>
      <c r="E154" t="s">
        <v>6</v>
      </c>
    </row>
    <row r="155" spans="1:5" ht="15" hidden="1" x14ac:dyDescent="0.25">
      <c r="A155" s="3">
        <v>935060</v>
      </c>
      <c r="B155" s="4" t="s">
        <v>157</v>
      </c>
      <c r="C155">
        <v>1</v>
      </c>
      <c r="E155" t="s">
        <v>6</v>
      </c>
    </row>
    <row r="156" spans="1:5" ht="15" hidden="1" x14ac:dyDescent="0.25">
      <c r="A156" s="3">
        <v>935065</v>
      </c>
      <c r="B156" s="4" t="s">
        <v>158</v>
      </c>
      <c r="C156">
        <v>1</v>
      </c>
      <c r="E156" t="s">
        <v>6</v>
      </c>
    </row>
    <row r="157" spans="1:5" ht="15" hidden="1" x14ac:dyDescent="0.25">
      <c r="A157" s="3">
        <v>935070</v>
      </c>
      <c r="B157" s="4" t="s">
        <v>159</v>
      </c>
      <c r="C157">
        <v>1</v>
      </c>
      <c r="E157" t="s">
        <v>6</v>
      </c>
    </row>
    <row r="158" spans="1:5" ht="15" hidden="1" x14ac:dyDescent="0.25">
      <c r="A158" s="3">
        <v>935080</v>
      </c>
      <c r="B158" s="4" t="s">
        <v>160</v>
      </c>
      <c r="C158">
        <v>1</v>
      </c>
      <c r="E158" t="s">
        <v>6</v>
      </c>
    </row>
    <row r="159" spans="1:5" ht="15" hidden="1" x14ac:dyDescent="0.25">
      <c r="A159" s="3">
        <v>935090</v>
      </c>
      <c r="B159" s="4" t="s">
        <v>161</v>
      </c>
      <c r="C159">
        <v>1</v>
      </c>
      <c r="E159" t="s">
        <v>6</v>
      </c>
    </row>
    <row r="160" spans="1:5" ht="15" hidden="1" x14ac:dyDescent="0.25">
      <c r="A160" s="3">
        <v>835560</v>
      </c>
      <c r="B160" s="4" t="s">
        <v>162</v>
      </c>
      <c r="C160">
        <v>1</v>
      </c>
      <c r="E160" t="s">
        <v>6</v>
      </c>
    </row>
    <row r="161" spans="1:5" ht="15" hidden="1" x14ac:dyDescent="0.25">
      <c r="A161" s="3">
        <v>835565</v>
      </c>
      <c r="B161" s="4" t="s">
        <v>163</v>
      </c>
      <c r="C161">
        <v>1</v>
      </c>
      <c r="E161" t="s">
        <v>6</v>
      </c>
    </row>
    <row r="162" spans="1:5" ht="15" hidden="1" x14ac:dyDescent="0.25">
      <c r="A162" s="3">
        <v>835570</v>
      </c>
      <c r="B162" s="4" t="s">
        <v>164</v>
      </c>
      <c r="C162">
        <v>1</v>
      </c>
      <c r="E162" t="s">
        <v>6</v>
      </c>
    </row>
    <row r="163" spans="1:5" ht="15" hidden="1" x14ac:dyDescent="0.25">
      <c r="A163" s="3">
        <v>835575</v>
      </c>
      <c r="B163" s="4" t="s">
        <v>165</v>
      </c>
      <c r="C163">
        <v>1</v>
      </c>
      <c r="E163" t="s">
        <v>6</v>
      </c>
    </row>
    <row r="164" spans="1:5" ht="15" hidden="1" x14ac:dyDescent="0.25">
      <c r="A164" s="3">
        <v>835585</v>
      </c>
      <c r="B164" s="4" t="s">
        <v>166</v>
      </c>
      <c r="C164">
        <v>1</v>
      </c>
      <c r="E164" t="s">
        <v>6</v>
      </c>
    </row>
    <row r="165" spans="1:5" ht="15" hidden="1" x14ac:dyDescent="0.25">
      <c r="A165" s="3">
        <v>935560</v>
      </c>
      <c r="B165" s="4" t="s">
        <v>167</v>
      </c>
      <c r="C165">
        <v>1</v>
      </c>
      <c r="E165" t="s">
        <v>6</v>
      </c>
    </row>
    <row r="166" spans="1:5" ht="15" hidden="1" x14ac:dyDescent="0.25">
      <c r="A166" s="3">
        <v>935562</v>
      </c>
      <c r="B166" s="4" t="s">
        <v>168</v>
      </c>
      <c r="C166">
        <v>1</v>
      </c>
      <c r="E166" t="s">
        <v>6</v>
      </c>
    </row>
    <row r="167" spans="1:5" ht="15" hidden="1" x14ac:dyDescent="0.25">
      <c r="A167" s="3">
        <v>935565</v>
      </c>
      <c r="B167" s="4" t="s">
        <v>169</v>
      </c>
      <c r="C167">
        <v>1</v>
      </c>
      <c r="E167" t="s">
        <v>6</v>
      </c>
    </row>
    <row r="168" spans="1:5" ht="15" hidden="1" x14ac:dyDescent="0.25">
      <c r="A168" s="3">
        <v>935570</v>
      </c>
      <c r="B168" s="4" t="s">
        <v>170</v>
      </c>
      <c r="C168">
        <v>1</v>
      </c>
      <c r="E168" t="s">
        <v>6</v>
      </c>
    </row>
    <row r="169" spans="1:5" ht="15" hidden="1" x14ac:dyDescent="0.25">
      <c r="A169" s="3">
        <v>935580</v>
      </c>
      <c r="B169" s="4" t="s">
        <v>171</v>
      </c>
      <c r="C169">
        <v>1</v>
      </c>
      <c r="E169" t="s">
        <v>6</v>
      </c>
    </row>
    <row r="170" spans="1:5" ht="15" hidden="1" x14ac:dyDescent="0.25">
      <c r="A170" s="3">
        <v>935585</v>
      </c>
      <c r="B170" s="4" t="s">
        <v>172</v>
      </c>
      <c r="C170">
        <v>1</v>
      </c>
      <c r="E170" t="s">
        <v>6</v>
      </c>
    </row>
    <row r="171" spans="1:5" ht="15" hidden="1" x14ac:dyDescent="0.25">
      <c r="A171" s="3">
        <v>935590</v>
      </c>
      <c r="B171" s="4" t="s">
        <v>173</v>
      </c>
      <c r="C171">
        <v>1</v>
      </c>
      <c r="E171" t="s">
        <v>6</v>
      </c>
    </row>
    <row r="172" spans="1:5" ht="15" hidden="1" x14ac:dyDescent="0.25">
      <c r="A172" s="3">
        <v>935010</v>
      </c>
      <c r="B172" s="4" t="s">
        <v>1222</v>
      </c>
      <c r="E172" t="s">
        <v>6</v>
      </c>
    </row>
    <row r="173" spans="1:5" ht="15" hidden="1" x14ac:dyDescent="0.25">
      <c r="A173" s="3">
        <v>936010</v>
      </c>
      <c r="B173" s="4" t="s">
        <v>1223</v>
      </c>
      <c r="E173" t="s">
        <v>6</v>
      </c>
    </row>
    <row r="174" spans="1:5" ht="15" hidden="1" x14ac:dyDescent="0.25">
      <c r="A174" s="3">
        <v>836080</v>
      </c>
      <c r="B174" s="4" t="s">
        <v>174</v>
      </c>
      <c r="C174">
        <v>1</v>
      </c>
      <c r="E174" t="s">
        <v>6</v>
      </c>
    </row>
    <row r="175" spans="1:5" ht="15" hidden="1" x14ac:dyDescent="0.25">
      <c r="A175" s="3">
        <v>936070</v>
      </c>
      <c r="B175" s="4" t="s">
        <v>175</v>
      </c>
      <c r="C175">
        <v>1</v>
      </c>
      <c r="E175" t="s">
        <v>6</v>
      </c>
    </row>
    <row r="176" spans="1:5" ht="15" hidden="1" x14ac:dyDescent="0.25">
      <c r="A176" s="3">
        <v>936075</v>
      </c>
      <c r="B176" s="4" t="s">
        <v>176</v>
      </c>
      <c r="C176">
        <v>1</v>
      </c>
      <c r="E176" t="s">
        <v>6</v>
      </c>
    </row>
    <row r="177" spans="1:5" ht="15" hidden="1" x14ac:dyDescent="0.25">
      <c r="A177" s="3">
        <v>936080</v>
      </c>
      <c r="B177" s="4" t="s">
        <v>177</v>
      </c>
      <c r="C177">
        <v>1</v>
      </c>
      <c r="E177" t="s">
        <v>6</v>
      </c>
    </row>
    <row r="178" spans="1:5" ht="15" hidden="1" x14ac:dyDescent="0.25">
      <c r="A178" s="3">
        <v>836585</v>
      </c>
      <c r="B178" s="4" t="s">
        <v>178</v>
      </c>
      <c r="C178">
        <v>1</v>
      </c>
      <c r="E178" t="s">
        <v>6</v>
      </c>
    </row>
    <row r="179" spans="1:5" ht="15" hidden="1" x14ac:dyDescent="0.25">
      <c r="A179" s="3">
        <v>936585</v>
      </c>
      <c r="B179" s="4" t="s">
        <v>179</v>
      </c>
      <c r="C179">
        <v>1</v>
      </c>
      <c r="E179" t="s">
        <v>6</v>
      </c>
    </row>
    <row r="180" spans="1:5" ht="15" hidden="1" x14ac:dyDescent="0.25">
      <c r="A180" s="3">
        <v>837010</v>
      </c>
      <c r="B180" s="4" t="s">
        <v>180</v>
      </c>
      <c r="C180">
        <v>1</v>
      </c>
      <c r="E180" t="s">
        <v>6</v>
      </c>
    </row>
    <row r="181" spans="1:5" ht="15" hidden="1" x14ac:dyDescent="0.25">
      <c r="A181" s="3">
        <v>837080</v>
      </c>
      <c r="B181" s="4" t="s">
        <v>181</v>
      </c>
      <c r="C181">
        <v>1</v>
      </c>
      <c r="E181" t="s">
        <v>6</v>
      </c>
    </row>
    <row r="182" spans="1:5" ht="15" hidden="1" x14ac:dyDescent="0.25">
      <c r="A182" s="3">
        <v>937010</v>
      </c>
      <c r="B182" s="4" t="s">
        <v>182</v>
      </c>
      <c r="C182">
        <v>1</v>
      </c>
      <c r="E182" t="s">
        <v>6</v>
      </c>
    </row>
    <row r="183" spans="1:5" ht="15" hidden="1" x14ac:dyDescent="0.25">
      <c r="A183" s="3">
        <v>937080</v>
      </c>
      <c r="B183" s="4" t="s">
        <v>183</v>
      </c>
      <c r="C183">
        <v>1</v>
      </c>
      <c r="E183" t="s">
        <v>6</v>
      </c>
    </row>
    <row r="184" spans="1:5" ht="15" hidden="1" x14ac:dyDescent="0.25">
      <c r="A184" s="3">
        <v>842040</v>
      </c>
      <c r="B184" s="4" t="s">
        <v>184</v>
      </c>
      <c r="C184">
        <v>1</v>
      </c>
      <c r="E184" t="s">
        <v>6</v>
      </c>
    </row>
    <row r="185" spans="1:5" ht="15" hidden="1" x14ac:dyDescent="0.25">
      <c r="A185" s="3">
        <v>942011</v>
      </c>
      <c r="B185" s="4" t="s">
        <v>185</v>
      </c>
      <c r="C185">
        <v>1</v>
      </c>
      <c r="E185" t="s">
        <v>6</v>
      </c>
    </row>
    <row r="186" spans="1:5" ht="15" hidden="1" x14ac:dyDescent="0.25">
      <c r="A186" s="3">
        <v>942012</v>
      </c>
      <c r="B186" s="4" t="s">
        <v>186</v>
      </c>
      <c r="C186">
        <v>1</v>
      </c>
      <c r="E186" t="s">
        <v>6</v>
      </c>
    </row>
    <row r="187" spans="1:5" ht="15" hidden="1" x14ac:dyDescent="0.25">
      <c r="A187" s="3">
        <v>942040</v>
      </c>
      <c r="B187" s="4" t="s">
        <v>187</v>
      </c>
      <c r="C187">
        <v>1</v>
      </c>
      <c r="E187" t="s">
        <v>6</v>
      </c>
    </row>
    <row r="188" spans="1:5" ht="15" hidden="1" x14ac:dyDescent="0.25">
      <c r="A188" s="3">
        <v>942090</v>
      </c>
      <c r="B188" s="4" t="s">
        <v>188</v>
      </c>
      <c r="C188">
        <v>1</v>
      </c>
      <c r="E188" t="s">
        <v>6</v>
      </c>
    </row>
    <row r="189" spans="1:5" ht="15" hidden="1" x14ac:dyDescent="0.25">
      <c r="A189" s="3">
        <v>942540</v>
      </c>
      <c r="B189" s="4" t="s">
        <v>189</v>
      </c>
      <c r="C189">
        <v>1</v>
      </c>
      <c r="E189" t="s">
        <v>6</v>
      </c>
    </row>
    <row r="190" spans="1:5" ht="15" hidden="1" x14ac:dyDescent="0.25">
      <c r="A190" s="3">
        <v>843065</v>
      </c>
      <c r="B190" s="4" t="s">
        <v>190</v>
      </c>
      <c r="C190">
        <v>1</v>
      </c>
      <c r="E190" t="s">
        <v>6</v>
      </c>
    </row>
    <row r="191" spans="1:5" ht="15" hidden="1" x14ac:dyDescent="0.25">
      <c r="A191" s="3">
        <v>943010</v>
      </c>
      <c r="B191" s="4" t="s">
        <v>191</v>
      </c>
      <c r="C191">
        <v>1</v>
      </c>
      <c r="E191" t="s">
        <v>6</v>
      </c>
    </row>
    <row r="192" spans="1:5" ht="15" hidden="1" x14ac:dyDescent="0.25">
      <c r="A192" s="3">
        <v>943011</v>
      </c>
      <c r="B192" s="4" t="s">
        <v>192</v>
      </c>
      <c r="C192">
        <v>1</v>
      </c>
      <c r="E192" t="s">
        <v>6</v>
      </c>
    </row>
    <row r="193" spans="1:5" ht="15" hidden="1" x14ac:dyDescent="0.25">
      <c r="A193" s="3">
        <v>943040</v>
      </c>
      <c r="B193" s="4" t="s">
        <v>193</v>
      </c>
      <c r="C193">
        <v>1</v>
      </c>
      <c r="E193" t="s">
        <v>6</v>
      </c>
    </row>
    <row r="194" spans="1:5" ht="15" hidden="1" x14ac:dyDescent="0.25">
      <c r="A194" s="3">
        <v>943050</v>
      </c>
      <c r="B194" s="4" t="s">
        <v>194</v>
      </c>
      <c r="C194">
        <v>1</v>
      </c>
      <c r="E194" t="s">
        <v>6</v>
      </c>
    </row>
    <row r="195" spans="1:5" ht="15" hidden="1" x14ac:dyDescent="0.25">
      <c r="A195" s="3">
        <v>943540</v>
      </c>
      <c r="B195" s="4" t="s">
        <v>1224</v>
      </c>
      <c r="E195" t="s">
        <v>6</v>
      </c>
    </row>
    <row r="196" spans="1:5" ht="15" hidden="1" x14ac:dyDescent="0.25">
      <c r="A196" s="3">
        <v>943550</v>
      </c>
      <c r="B196" s="4" t="s">
        <v>195</v>
      </c>
      <c r="C196">
        <v>1</v>
      </c>
      <c r="E196" t="s">
        <v>6</v>
      </c>
    </row>
    <row r="197" spans="1:5" ht="15" hidden="1" x14ac:dyDescent="0.25">
      <c r="A197" s="3">
        <v>943565</v>
      </c>
      <c r="B197" s="4" t="s">
        <v>196</v>
      </c>
      <c r="C197">
        <v>1</v>
      </c>
      <c r="E197" t="s">
        <v>6</v>
      </c>
    </row>
    <row r="198" spans="1:5" ht="15" hidden="1" x14ac:dyDescent="0.25">
      <c r="A198" s="3">
        <v>944060</v>
      </c>
      <c r="B198" s="4" t="s">
        <v>197</v>
      </c>
      <c r="C198">
        <v>1</v>
      </c>
      <c r="E198" t="s">
        <v>6</v>
      </c>
    </row>
    <row r="199" spans="1:5" ht="15" hidden="1" x14ac:dyDescent="0.25">
      <c r="A199" s="3">
        <v>944080</v>
      </c>
      <c r="B199" s="4" t="s">
        <v>198</v>
      </c>
      <c r="C199">
        <v>1</v>
      </c>
      <c r="E199" t="s">
        <v>6</v>
      </c>
    </row>
    <row r="200" spans="1:5" ht="15" hidden="1" x14ac:dyDescent="0.25">
      <c r="A200" s="3">
        <v>944585</v>
      </c>
      <c r="B200" s="4" t="s">
        <v>199</v>
      </c>
      <c r="C200">
        <v>1</v>
      </c>
      <c r="E200" t="s">
        <v>6</v>
      </c>
    </row>
    <row r="201" spans="1:5" ht="15" hidden="1" x14ac:dyDescent="0.25">
      <c r="A201" s="3">
        <v>945011</v>
      </c>
      <c r="B201" s="4" t="s">
        <v>200</v>
      </c>
      <c r="C201">
        <v>1</v>
      </c>
      <c r="E201" t="s">
        <v>6</v>
      </c>
    </row>
    <row r="202" spans="1:5" ht="15" hidden="1" x14ac:dyDescent="0.25">
      <c r="A202" s="3">
        <v>945560</v>
      </c>
      <c r="B202" s="4" t="s">
        <v>201</v>
      </c>
      <c r="C202">
        <v>1</v>
      </c>
      <c r="E202" t="s">
        <v>6</v>
      </c>
    </row>
    <row r="203" spans="1:5" ht="15" hidden="1" x14ac:dyDescent="0.25">
      <c r="A203" s="3">
        <v>853050</v>
      </c>
      <c r="B203" s="4" t="s">
        <v>202</v>
      </c>
      <c r="C203">
        <v>1</v>
      </c>
      <c r="E203" t="s">
        <v>6</v>
      </c>
    </row>
    <row r="204" spans="1:5" ht="15" hidden="1" x14ac:dyDescent="0.25">
      <c r="A204" s="3">
        <v>853060</v>
      </c>
      <c r="B204" s="4" t="s">
        <v>203</v>
      </c>
      <c r="C204">
        <v>1</v>
      </c>
      <c r="E204" t="s">
        <v>6</v>
      </c>
    </row>
    <row r="205" spans="1:5" ht="15" hidden="1" x14ac:dyDescent="0.25">
      <c r="A205" s="3">
        <v>853560</v>
      </c>
      <c r="B205" s="4" t="s">
        <v>204</v>
      </c>
      <c r="C205">
        <v>1</v>
      </c>
      <c r="E205" t="s">
        <v>6</v>
      </c>
    </row>
    <row r="206" spans="1:5" ht="15" hidden="1" x14ac:dyDescent="0.25">
      <c r="A206" s="3">
        <v>854050</v>
      </c>
      <c r="B206" s="4" t="s">
        <v>205</v>
      </c>
      <c r="C206">
        <v>1</v>
      </c>
      <c r="E206" t="s">
        <v>6</v>
      </c>
    </row>
    <row r="207" spans="1:5" ht="15" hidden="1" x14ac:dyDescent="0.25">
      <c r="A207" s="3">
        <v>855010</v>
      </c>
      <c r="B207" s="4" t="s">
        <v>206</v>
      </c>
      <c r="C207">
        <v>1</v>
      </c>
      <c r="E207" t="s">
        <v>6</v>
      </c>
    </row>
    <row r="208" spans="1:5" ht="15" hidden="1" x14ac:dyDescent="0.25">
      <c r="A208" s="3">
        <v>802040</v>
      </c>
      <c r="B208" s="4" t="s">
        <v>207</v>
      </c>
      <c r="C208">
        <v>1</v>
      </c>
      <c r="E208" t="s">
        <v>6</v>
      </c>
    </row>
    <row r="209" spans="1:5" ht="15" hidden="1" x14ac:dyDescent="0.25">
      <c r="A209" s="3">
        <v>902011</v>
      </c>
      <c r="B209" s="4" t="s">
        <v>208</v>
      </c>
      <c r="C209">
        <v>1</v>
      </c>
      <c r="E209" t="s">
        <v>6</v>
      </c>
    </row>
    <row r="210" spans="1:5" ht="15" hidden="1" x14ac:dyDescent="0.25">
      <c r="A210" s="3">
        <v>902012</v>
      </c>
      <c r="B210" s="4" t="s">
        <v>209</v>
      </c>
      <c r="C210">
        <v>1</v>
      </c>
      <c r="E210" t="s">
        <v>6</v>
      </c>
    </row>
    <row r="211" spans="1:5" ht="15" hidden="1" x14ac:dyDescent="0.25">
      <c r="A211" s="3">
        <v>902040</v>
      </c>
      <c r="B211" s="4" t="s">
        <v>210</v>
      </c>
      <c r="C211">
        <v>1</v>
      </c>
      <c r="E211" t="s">
        <v>6</v>
      </c>
    </row>
    <row r="212" spans="1:5" ht="15" hidden="1" x14ac:dyDescent="0.25">
      <c r="A212" s="3">
        <v>902090</v>
      </c>
      <c r="B212" s="4" t="s">
        <v>211</v>
      </c>
      <c r="C212">
        <v>1</v>
      </c>
      <c r="E212" t="s">
        <v>6</v>
      </c>
    </row>
    <row r="213" spans="1:5" ht="15" hidden="1" x14ac:dyDescent="0.25">
      <c r="A213" s="3">
        <v>802537</v>
      </c>
      <c r="B213" s="4" t="s">
        <v>212</v>
      </c>
      <c r="C213">
        <v>1</v>
      </c>
      <c r="E213" t="s">
        <v>6</v>
      </c>
    </row>
    <row r="214" spans="1:5" ht="15" hidden="1" x14ac:dyDescent="0.25">
      <c r="A214" s="3">
        <v>802545</v>
      </c>
      <c r="B214" s="4" t="s">
        <v>213</v>
      </c>
      <c r="C214">
        <v>1</v>
      </c>
      <c r="E214" t="s">
        <v>6</v>
      </c>
    </row>
    <row r="215" spans="1:5" ht="15" hidden="1" x14ac:dyDescent="0.25">
      <c r="A215" s="3">
        <v>902537</v>
      </c>
      <c r="B215" s="4" t="s">
        <v>214</v>
      </c>
      <c r="C215">
        <v>1</v>
      </c>
      <c r="E215" t="s">
        <v>6</v>
      </c>
    </row>
    <row r="216" spans="1:5" ht="15" hidden="1" x14ac:dyDescent="0.25">
      <c r="A216" s="3">
        <v>902540</v>
      </c>
      <c r="B216" s="4" t="s">
        <v>215</v>
      </c>
      <c r="C216">
        <v>1</v>
      </c>
      <c r="E216" t="s">
        <v>6</v>
      </c>
    </row>
    <row r="217" spans="1:5" ht="15" hidden="1" x14ac:dyDescent="0.25">
      <c r="A217" s="3">
        <v>902545</v>
      </c>
      <c r="B217" s="4" t="s">
        <v>216</v>
      </c>
      <c r="C217">
        <v>1</v>
      </c>
      <c r="E217" t="s">
        <v>6</v>
      </c>
    </row>
    <row r="218" spans="1:5" ht="15" hidden="1" x14ac:dyDescent="0.25">
      <c r="A218" s="3">
        <v>802790</v>
      </c>
      <c r="B218" s="4" t="s">
        <v>217</v>
      </c>
      <c r="C218">
        <v>1</v>
      </c>
      <c r="E218" t="s">
        <v>6</v>
      </c>
    </row>
    <row r="219" spans="1:5" ht="15" hidden="1" x14ac:dyDescent="0.25">
      <c r="A219" s="3">
        <v>902790</v>
      </c>
      <c r="B219" s="4" t="s">
        <v>218</v>
      </c>
      <c r="C219">
        <v>1</v>
      </c>
      <c r="E219" t="s">
        <v>6</v>
      </c>
    </row>
    <row r="220" spans="1:5" ht="15" hidden="1" x14ac:dyDescent="0.25">
      <c r="A220" s="3">
        <v>802840</v>
      </c>
      <c r="B220" s="4" t="s">
        <v>219</v>
      </c>
      <c r="C220">
        <v>1</v>
      </c>
      <c r="E220" t="s">
        <v>6</v>
      </c>
    </row>
    <row r="221" spans="1:5" ht="15" hidden="1" x14ac:dyDescent="0.25">
      <c r="A221" s="3">
        <v>803010</v>
      </c>
      <c r="B221" s="4" t="s">
        <v>220</v>
      </c>
      <c r="C221">
        <v>1</v>
      </c>
      <c r="E221" t="s">
        <v>6</v>
      </c>
    </row>
    <row r="222" spans="1:5" ht="15" hidden="1" x14ac:dyDescent="0.25">
      <c r="A222" s="3">
        <v>803011</v>
      </c>
      <c r="B222" s="4" t="s">
        <v>221</v>
      </c>
      <c r="C222">
        <v>1</v>
      </c>
      <c r="E222" t="s">
        <v>6</v>
      </c>
    </row>
    <row r="223" spans="1:5" ht="15" hidden="1" x14ac:dyDescent="0.25">
      <c r="A223" s="3">
        <v>803012</v>
      </c>
      <c r="B223" s="4" t="s">
        <v>222</v>
      </c>
      <c r="C223">
        <v>1</v>
      </c>
      <c r="E223" t="s">
        <v>6</v>
      </c>
    </row>
    <row r="224" spans="1:5" ht="15" hidden="1" x14ac:dyDescent="0.25">
      <c r="A224" s="3">
        <v>803040</v>
      </c>
      <c r="B224" s="4" t="s">
        <v>223</v>
      </c>
      <c r="C224">
        <v>1</v>
      </c>
      <c r="E224" t="s">
        <v>6</v>
      </c>
    </row>
    <row r="225" spans="1:5" ht="15" hidden="1" x14ac:dyDescent="0.25">
      <c r="A225" s="3">
        <v>803045</v>
      </c>
      <c r="B225" s="4" t="s">
        <v>224</v>
      </c>
      <c r="C225">
        <v>1</v>
      </c>
      <c r="E225" t="s">
        <v>6</v>
      </c>
    </row>
    <row r="226" spans="1:5" ht="15" hidden="1" x14ac:dyDescent="0.25">
      <c r="A226" s="3">
        <v>803050</v>
      </c>
      <c r="B226" s="4" t="s">
        <v>225</v>
      </c>
      <c r="C226">
        <v>1</v>
      </c>
      <c r="E226" t="s">
        <v>6</v>
      </c>
    </row>
    <row r="227" spans="1:5" ht="15" hidden="1" x14ac:dyDescent="0.25">
      <c r="A227" s="3">
        <v>803060</v>
      </c>
      <c r="B227" s="4" t="s">
        <v>226</v>
      </c>
      <c r="C227">
        <v>1</v>
      </c>
      <c r="E227" t="s">
        <v>6</v>
      </c>
    </row>
    <row r="228" spans="1:5" ht="15" hidden="1" x14ac:dyDescent="0.25">
      <c r="A228" s="3">
        <v>803065</v>
      </c>
      <c r="B228" s="4" t="s">
        <v>227</v>
      </c>
      <c r="C228">
        <v>1</v>
      </c>
      <c r="E228" t="s">
        <v>6</v>
      </c>
    </row>
    <row r="229" spans="1:5" ht="15" hidden="1" x14ac:dyDescent="0.25">
      <c r="A229" s="3">
        <v>803070</v>
      </c>
      <c r="B229" s="4" t="s">
        <v>228</v>
      </c>
      <c r="C229">
        <v>1</v>
      </c>
      <c r="E229" t="s">
        <v>6</v>
      </c>
    </row>
    <row r="230" spans="1:5" ht="15" hidden="1" x14ac:dyDescent="0.25">
      <c r="A230" s="3">
        <v>803080</v>
      </c>
      <c r="B230" s="4" t="s">
        <v>229</v>
      </c>
      <c r="C230">
        <v>1</v>
      </c>
      <c r="E230" t="s">
        <v>6</v>
      </c>
    </row>
    <row r="231" spans="1:5" ht="15" hidden="1" x14ac:dyDescent="0.25">
      <c r="A231" s="3">
        <v>803090</v>
      </c>
      <c r="B231" s="4" t="s">
        <v>230</v>
      </c>
      <c r="C231">
        <v>1</v>
      </c>
      <c r="E231" t="s">
        <v>6</v>
      </c>
    </row>
    <row r="232" spans="1:5" ht="15" hidden="1" x14ac:dyDescent="0.25">
      <c r="A232" s="3">
        <v>803095</v>
      </c>
      <c r="B232" s="4" t="s">
        <v>231</v>
      </c>
      <c r="C232">
        <v>1</v>
      </c>
      <c r="E232" t="s">
        <v>6</v>
      </c>
    </row>
    <row r="233" spans="1:5" ht="15" hidden="1" x14ac:dyDescent="0.25">
      <c r="A233" s="3">
        <v>903010</v>
      </c>
      <c r="B233" s="4" t="s">
        <v>232</v>
      </c>
      <c r="C233">
        <v>1</v>
      </c>
      <c r="E233" t="s">
        <v>6</v>
      </c>
    </row>
    <row r="234" spans="1:5" ht="15" hidden="1" x14ac:dyDescent="0.25">
      <c r="A234" s="3">
        <v>903011</v>
      </c>
      <c r="B234" s="4" t="s">
        <v>233</v>
      </c>
      <c r="C234">
        <v>1</v>
      </c>
      <c r="E234" t="s">
        <v>6</v>
      </c>
    </row>
    <row r="235" spans="1:5" ht="15" hidden="1" x14ac:dyDescent="0.25">
      <c r="A235" s="3">
        <v>903012</v>
      </c>
      <c r="B235" s="4" t="s">
        <v>234</v>
      </c>
      <c r="C235">
        <v>1</v>
      </c>
      <c r="E235" t="s">
        <v>6</v>
      </c>
    </row>
    <row r="236" spans="1:5" ht="15" hidden="1" x14ac:dyDescent="0.25">
      <c r="A236" s="3">
        <v>903040</v>
      </c>
      <c r="B236" s="4" t="s">
        <v>235</v>
      </c>
      <c r="C236">
        <v>1</v>
      </c>
      <c r="E236" t="s">
        <v>6</v>
      </c>
    </row>
    <row r="237" spans="1:5" ht="15" hidden="1" x14ac:dyDescent="0.25">
      <c r="A237" s="3">
        <v>903045</v>
      </c>
      <c r="B237" s="4" t="s">
        <v>236</v>
      </c>
      <c r="C237">
        <v>1</v>
      </c>
      <c r="E237" t="s">
        <v>6</v>
      </c>
    </row>
    <row r="238" spans="1:5" ht="15" hidden="1" x14ac:dyDescent="0.25">
      <c r="A238" s="3">
        <v>903050</v>
      </c>
      <c r="B238" s="4" t="s">
        <v>237</v>
      </c>
      <c r="C238">
        <v>1</v>
      </c>
      <c r="E238" t="s">
        <v>6</v>
      </c>
    </row>
    <row r="239" spans="1:5" ht="15" hidden="1" x14ac:dyDescent="0.25">
      <c r="A239" s="3">
        <v>903060</v>
      </c>
      <c r="B239" s="4" t="s">
        <v>238</v>
      </c>
      <c r="C239">
        <v>1</v>
      </c>
      <c r="E239" t="s">
        <v>6</v>
      </c>
    </row>
    <row r="240" spans="1:5" ht="15" hidden="1" x14ac:dyDescent="0.25">
      <c r="A240" s="3">
        <v>903065</v>
      </c>
      <c r="B240" s="4" t="s">
        <v>239</v>
      </c>
      <c r="C240">
        <v>1</v>
      </c>
      <c r="E240" t="s">
        <v>6</v>
      </c>
    </row>
    <row r="241" spans="1:5" ht="15" hidden="1" x14ac:dyDescent="0.25">
      <c r="A241" s="3">
        <v>903070</v>
      </c>
      <c r="B241" s="4" t="s">
        <v>240</v>
      </c>
      <c r="C241">
        <v>1</v>
      </c>
      <c r="E241" t="s">
        <v>6</v>
      </c>
    </row>
    <row r="242" spans="1:5" ht="15" hidden="1" x14ac:dyDescent="0.25">
      <c r="A242" s="3">
        <v>903080</v>
      </c>
      <c r="B242" s="4" t="s">
        <v>241</v>
      </c>
      <c r="C242">
        <v>1</v>
      </c>
      <c r="E242" t="s">
        <v>6</v>
      </c>
    </row>
    <row r="243" spans="1:5" ht="15" hidden="1" x14ac:dyDescent="0.25">
      <c r="A243" s="3">
        <v>903090</v>
      </c>
      <c r="B243" s="4" t="s">
        <v>242</v>
      </c>
      <c r="C243">
        <v>1</v>
      </c>
      <c r="E243" t="s">
        <v>6</v>
      </c>
    </row>
    <row r="244" spans="1:5" ht="15" hidden="1" x14ac:dyDescent="0.25">
      <c r="A244" s="3">
        <v>803245</v>
      </c>
      <c r="B244" s="4" t="s">
        <v>243</v>
      </c>
      <c r="C244">
        <v>1</v>
      </c>
      <c r="E244" t="s">
        <v>6</v>
      </c>
    </row>
    <row r="245" spans="1:5" ht="15" hidden="1" x14ac:dyDescent="0.25">
      <c r="A245" s="3">
        <v>803270</v>
      </c>
      <c r="B245" s="4" t="s">
        <v>244</v>
      </c>
      <c r="C245">
        <v>1</v>
      </c>
      <c r="E245" t="s">
        <v>6</v>
      </c>
    </row>
    <row r="246" spans="1:5" ht="15" hidden="1" x14ac:dyDescent="0.25">
      <c r="A246" s="3">
        <v>903245</v>
      </c>
      <c r="B246" s="4" t="s">
        <v>245</v>
      </c>
      <c r="C246">
        <v>1</v>
      </c>
      <c r="E246" t="s">
        <v>6</v>
      </c>
    </row>
    <row r="247" spans="1:5" ht="15" hidden="1" x14ac:dyDescent="0.25">
      <c r="A247" s="3">
        <v>903270</v>
      </c>
      <c r="B247" s="4" t="s">
        <v>246</v>
      </c>
      <c r="C247">
        <v>1</v>
      </c>
      <c r="E247" t="s">
        <v>6</v>
      </c>
    </row>
    <row r="248" spans="1:5" ht="15" hidden="1" x14ac:dyDescent="0.25">
      <c r="A248" s="3">
        <v>803510</v>
      </c>
      <c r="B248" s="4" t="s">
        <v>247</v>
      </c>
      <c r="C248">
        <v>1</v>
      </c>
      <c r="E248" t="s">
        <v>6</v>
      </c>
    </row>
    <row r="249" spans="1:5" ht="15" hidden="1" x14ac:dyDescent="0.25">
      <c r="A249" s="3">
        <v>803540</v>
      </c>
      <c r="B249" s="4" t="s">
        <v>248</v>
      </c>
      <c r="C249">
        <v>1</v>
      </c>
      <c r="E249" t="s">
        <v>6</v>
      </c>
    </row>
    <row r="250" spans="1:5" ht="15" hidden="1" x14ac:dyDescent="0.25">
      <c r="A250" s="3">
        <v>803550</v>
      </c>
      <c r="B250" s="4" t="s">
        <v>249</v>
      </c>
      <c r="C250">
        <v>1</v>
      </c>
      <c r="E250" t="s">
        <v>6</v>
      </c>
    </row>
    <row r="251" spans="1:5" ht="15" hidden="1" x14ac:dyDescent="0.25">
      <c r="A251" s="3">
        <v>803560</v>
      </c>
      <c r="B251" s="4" t="s">
        <v>250</v>
      </c>
      <c r="C251">
        <v>1</v>
      </c>
      <c r="E251" t="s">
        <v>6</v>
      </c>
    </row>
    <row r="252" spans="1:5" ht="15" hidden="1" x14ac:dyDescent="0.25">
      <c r="A252" s="3">
        <v>803565</v>
      </c>
      <c r="B252" s="4" t="s">
        <v>251</v>
      </c>
      <c r="C252">
        <v>1</v>
      </c>
      <c r="E252" t="s">
        <v>6</v>
      </c>
    </row>
    <row r="253" spans="1:5" ht="15" hidden="1" x14ac:dyDescent="0.25">
      <c r="A253" s="3">
        <v>803570</v>
      </c>
      <c r="B253" s="4" t="s">
        <v>252</v>
      </c>
      <c r="C253">
        <v>1</v>
      </c>
      <c r="E253" t="s">
        <v>6</v>
      </c>
    </row>
    <row r="254" spans="1:5" ht="15" hidden="1" x14ac:dyDescent="0.25">
      <c r="A254" s="3">
        <v>903510</v>
      </c>
      <c r="B254" s="4" t="s">
        <v>253</v>
      </c>
      <c r="C254">
        <v>1</v>
      </c>
      <c r="E254" t="s">
        <v>6</v>
      </c>
    </row>
    <row r="255" spans="1:5" ht="15" hidden="1" x14ac:dyDescent="0.25">
      <c r="A255" s="3">
        <v>903540</v>
      </c>
      <c r="B255" s="4" t="s">
        <v>254</v>
      </c>
      <c r="C255">
        <v>1</v>
      </c>
      <c r="E255" t="s">
        <v>6</v>
      </c>
    </row>
    <row r="256" spans="1:5" ht="15" hidden="1" x14ac:dyDescent="0.25">
      <c r="A256" s="3">
        <v>903545</v>
      </c>
      <c r="B256" s="4" t="s">
        <v>255</v>
      </c>
      <c r="C256">
        <v>1</v>
      </c>
      <c r="E256" t="s">
        <v>6</v>
      </c>
    </row>
    <row r="257" spans="1:5" ht="15" hidden="1" x14ac:dyDescent="0.25">
      <c r="A257" s="3">
        <v>903550</v>
      </c>
      <c r="B257" s="4" t="s">
        <v>256</v>
      </c>
      <c r="C257">
        <v>1</v>
      </c>
      <c r="E257" t="s">
        <v>6</v>
      </c>
    </row>
    <row r="258" spans="1:5" ht="15" hidden="1" x14ac:dyDescent="0.25">
      <c r="A258" s="3">
        <v>903555</v>
      </c>
      <c r="B258" s="4" t="s">
        <v>257</v>
      </c>
      <c r="C258">
        <v>1</v>
      </c>
      <c r="E258" t="s">
        <v>6</v>
      </c>
    </row>
    <row r="259" spans="1:5" ht="15" hidden="1" x14ac:dyDescent="0.25">
      <c r="A259" s="3">
        <v>903560</v>
      </c>
      <c r="B259" s="4" t="s">
        <v>258</v>
      </c>
      <c r="C259">
        <v>1</v>
      </c>
      <c r="E259" t="s">
        <v>6</v>
      </c>
    </row>
    <row r="260" spans="1:5" ht="15" hidden="1" x14ac:dyDescent="0.25">
      <c r="A260" s="3">
        <v>903565</v>
      </c>
      <c r="B260" s="4" t="s">
        <v>259</v>
      </c>
      <c r="C260">
        <v>1</v>
      </c>
      <c r="E260" t="s">
        <v>6</v>
      </c>
    </row>
    <row r="261" spans="1:5" ht="15" hidden="1" x14ac:dyDescent="0.25">
      <c r="A261" s="3">
        <v>903570</v>
      </c>
      <c r="B261" s="4" t="s">
        <v>260</v>
      </c>
      <c r="C261">
        <v>1</v>
      </c>
      <c r="E261" t="s">
        <v>6</v>
      </c>
    </row>
    <row r="262" spans="1:5" ht="15" hidden="1" x14ac:dyDescent="0.25">
      <c r="A262" s="3">
        <v>803750</v>
      </c>
      <c r="B262" s="4" t="s">
        <v>261</v>
      </c>
      <c r="C262">
        <v>1</v>
      </c>
      <c r="E262" t="s">
        <v>6</v>
      </c>
    </row>
    <row r="263" spans="1:5" ht="15" hidden="1" x14ac:dyDescent="0.25">
      <c r="A263" s="3">
        <v>803770</v>
      </c>
      <c r="B263" s="4" t="s">
        <v>262</v>
      </c>
      <c r="C263">
        <v>1</v>
      </c>
      <c r="E263" t="s">
        <v>6</v>
      </c>
    </row>
    <row r="264" spans="1:5" ht="15" hidden="1" x14ac:dyDescent="0.25">
      <c r="A264" s="3">
        <v>903742</v>
      </c>
      <c r="B264" s="4" t="s">
        <v>263</v>
      </c>
      <c r="C264">
        <v>1</v>
      </c>
      <c r="E264" t="s">
        <v>6</v>
      </c>
    </row>
    <row r="265" spans="1:5" ht="15" hidden="1" x14ac:dyDescent="0.25">
      <c r="A265" s="3">
        <v>903750</v>
      </c>
      <c r="B265" s="4" t="s">
        <v>264</v>
      </c>
      <c r="C265">
        <v>1</v>
      </c>
      <c r="E265" t="s">
        <v>6</v>
      </c>
    </row>
    <row r="266" spans="1:5" ht="15" hidden="1" x14ac:dyDescent="0.25">
      <c r="A266" s="3">
        <v>903770</v>
      </c>
      <c r="B266" s="4" t="s">
        <v>265</v>
      </c>
      <c r="C266">
        <v>1</v>
      </c>
      <c r="E266" t="s">
        <v>6</v>
      </c>
    </row>
    <row r="267" spans="1:5" ht="15" hidden="1" x14ac:dyDescent="0.25">
      <c r="A267" s="3">
        <v>804010</v>
      </c>
      <c r="B267" s="4" t="s">
        <v>266</v>
      </c>
      <c r="C267">
        <v>1</v>
      </c>
      <c r="E267" t="s">
        <v>6</v>
      </c>
    </row>
    <row r="268" spans="1:5" ht="15" hidden="1" x14ac:dyDescent="0.25">
      <c r="A268" s="3">
        <v>804012</v>
      </c>
      <c r="B268" s="4" t="s">
        <v>267</v>
      </c>
      <c r="C268">
        <v>1</v>
      </c>
      <c r="E268" t="s">
        <v>6</v>
      </c>
    </row>
    <row r="269" spans="1:5" ht="15" hidden="1" x14ac:dyDescent="0.25">
      <c r="A269" s="3">
        <v>804045</v>
      </c>
      <c r="B269" s="4" t="s">
        <v>268</v>
      </c>
      <c r="C269">
        <v>1</v>
      </c>
      <c r="E269" t="s">
        <v>6</v>
      </c>
    </row>
    <row r="270" spans="1:5" ht="15" hidden="1" x14ac:dyDescent="0.25">
      <c r="A270" s="3">
        <v>804047</v>
      </c>
      <c r="B270" s="4" t="s">
        <v>269</v>
      </c>
      <c r="C270">
        <v>1</v>
      </c>
      <c r="E270" t="s">
        <v>6</v>
      </c>
    </row>
    <row r="271" spans="1:5" ht="15" hidden="1" x14ac:dyDescent="0.25">
      <c r="A271" s="3">
        <v>804050</v>
      </c>
      <c r="B271" s="4" t="s">
        <v>270</v>
      </c>
      <c r="C271">
        <v>1</v>
      </c>
      <c r="E271" t="s">
        <v>6</v>
      </c>
    </row>
    <row r="272" spans="1:5" ht="15" hidden="1" x14ac:dyDescent="0.25">
      <c r="A272" s="3">
        <v>804055</v>
      </c>
      <c r="B272" s="4" t="s">
        <v>271</v>
      </c>
      <c r="C272">
        <v>1</v>
      </c>
      <c r="E272" t="s">
        <v>6</v>
      </c>
    </row>
    <row r="273" spans="1:5" ht="15" hidden="1" x14ac:dyDescent="0.25">
      <c r="A273" s="3">
        <v>804060</v>
      </c>
      <c r="B273" s="4" t="s">
        <v>272</v>
      </c>
      <c r="C273">
        <v>1</v>
      </c>
      <c r="E273" t="s">
        <v>6</v>
      </c>
    </row>
    <row r="274" spans="1:5" ht="15" hidden="1" x14ac:dyDescent="0.25">
      <c r="A274" s="3">
        <v>804065</v>
      </c>
      <c r="B274" s="4" t="s">
        <v>273</v>
      </c>
      <c r="C274">
        <v>1</v>
      </c>
      <c r="E274" t="s">
        <v>6</v>
      </c>
    </row>
    <row r="275" spans="1:5" ht="15" hidden="1" x14ac:dyDescent="0.25">
      <c r="A275" s="3">
        <v>804070</v>
      </c>
      <c r="B275" s="4" t="s">
        <v>274</v>
      </c>
      <c r="C275">
        <v>1</v>
      </c>
      <c r="E275" t="s">
        <v>6</v>
      </c>
    </row>
    <row r="276" spans="1:5" ht="15" hidden="1" x14ac:dyDescent="0.25">
      <c r="A276" s="3">
        <v>804075</v>
      </c>
      <c r="B276" s="4" t="s">
        <v>275</v>
      </c>
      <c r="C276">
        <v>1</v>
      </c>
      <c r="E276" t="s">
        <v>6</v>
      </c>
    </row>
    <row r="277" spans="1:5" ht="15" hidden="1" x14ac:dyDescent="0.25">
      <c r="A277" s="3">
        <v>804080</v>
      </c>
      <c r="B277" s="4" t="s">
        <v>276</v>
      </c>
      <c r="C277">
        <v>1</v>
      </c>
      <c r="E277" t="s">
        <v>6</v>
      </c>
    </row>
    <row r="278" spans="1:5" ht="15" hidden="1" x14ac:dyDescent="0.25">
      <c r="A278" s="3">
        <v>804090</v>
      </c>
      <c r="B278" s="4" t="s">
        <v>277</v>
      </c>
      <c r="C278">
        <v>1</v>
      </c>
      <c r="E278" t="s">
        <v>6</v>
      </c>
    </row>
    <row r="279" spans="1:5" ht="15" hidden="1" x14ac:dyDescent="0.25">
      <c r="A279" s="3">
        <v>904010</v>
      </c>
      <c r="B279" s="4" t="s">
        <v>278</v>
      </c>
      <c r="C279">
        <v>1</v>
      </c>
      <c r="E279" t="s">
        <v>6</v>
      </c>
    </row>
    <row r="280" spans="1:5" ht="15" hidden="1" x14ac:dyDescent="0.25">
      <c r="A280" s="3">
        <v>904012</v>
      </c>
      <c r="B280" s="4" t="s">
        <v>279</v>
      </c>
      <c r="C280">
        <v>1</v>
      </c>
      <c r="E280" t="s">
        <v>6</v>
      </c>
    </row>
    <row r="281" spans="1:5" ht="15" hidden="1" x14ac:dyDescent="0.25">
      <c r="A281" s="3">
        <v>904050</v>
      </c>
      <c r="B281" s="4" t="s">
        <v>280</v>
      </c>
      <c r="C281">
        <v>1</v>
      </c>
      <c r="E281" t="s">
        <v>6</v>
      </c>
    </row>
    <row r="282" spans="1:5" ht="15" hidden="1" x14ac:dyDescent="0.25">
      <c r="A282" s="3">
        <v>904055</v>
      </c>
      <c r="B282" s="4" t="s">
        <v>281</v>
      </c>
      <c r="C282">
        <v>1</v>
      </c>
      <c r="E282" t="s">
        <v>6</v>
      </c>
    </row>
    <row r="283" spans="1:5" ht="15" hidden="1" x14ac:dyDescent="0.25">
      <c r="A283" s="3">
        <v>904060</v>
      </c>
      <c r="B283" s="4" t="s">
        <v>282</v>
      </c>
      <c r="C283">
        <v>1</v>
      </c>
      <c r="E283" t="s">
        <v>6</v>
      </c>
    </row>
    <row r="284" spans="1:5" ht="15" hidden="1" x14ac:dyDescent="0.25">
      <c r="A284" s="3">
        <v>904065</v>
      </c>
      <c r="B284" s="4" t="s">
        <v>283</v>
      </c>
      <c r="C284">
        <v>1</v>
      </c>
      <c r="E284" t="s">
        <v>6</v>
      </c>
    </row>
    <row r="285" spans="1:5" ht="15" hidden="1" x14ac:dyDescent="0.25">
      <c r="A285" s="3">
        <v>904070</v>
      </c>
      <c r="B285" s="4" t="s">
        <v>284</v>
      </c>
      <c r="C285">
        <v>1</v>
      </c>
      <c r="E285" t="s">
        <v>6</v>
      </c>
    </row>
    <row r="286" spans="1:5" ht="15" hidden="1" x14ac:dyDescent="0.25">
      <c r="A286" s="3">
        <v>904075</v>
      </c>
      <c r="B286" s="4" t="s">
        <v>285</v>
      </c>
      <c r="C286">
        <v>1</v>
      </c>
      <c r="E286" t="s">
        <v>6</v>
      </c>
    </row>
    <row r="287" spans="1:5" ht="15" hidden="1" x14ac:dyDescent="0.25">
      <c r="A287" s="3">
        <v>904080</v>
      </c>
      <c r="B287" s="4" t="s">
        <v>286</v>
      </c>
      <c r="C287">
        <v>1</v>
      </c>
      <c r="E287" t="s">
        <v>6</v>
      </c>
    </row>
    <row r="288" spans="1:5" ht="15" hidden="1" x14ac:dyDescent="0.25">
      <c r="A288" s="3">
        <v>904090</v>
      </c>
      <c r="B288" s="4" t="s">
        <v>287</v>
      </c>
      <c r="C288">
        <v>1</v>
      </c>
      <c r="E288" t="s">
        <v>6</v>
      </c>
    </row>
    <row r="289" spans="1:5" ht="15" hidden="1" x14ac:dyDescent="0.25">
      <c r="A289" s="3">
        <v>904095</v>
      </c>
      <c r="B289" s="4" t="s">
        <v>288</v>
      </c>
      <c r="C289">
        <v>1</v>
      </c>
      <c r="E289" t="s">
        <v>6</v>
      </c>
    </row>
    <row r="290" spans="1:5" ht="15" hidden="1" x14ac:dyDescent="0.25">
      <c r="A290" s="3">
        <v>804288</v>
      </c>
      <c r="B290" s="4" t="s">
        <v>289</v>
      </c>
      <c r="C290">
        <v>1</v>
      </c>
      <c r="E290" t="s">
        <v>6</v>
      </c>
    </row>
    <row r="291" spans="1:5" ht="15" hidden="1" x14ac:dyDescent="0.25">
      <c r="A291" s="3">
        <v>804550</v>
      </c>
      <c r="B291" s="4" t="s">
        <v>290</v>
      </c>
      <c r="C291">
        <v>1</v>
      </c>
      <c r="E291" t="s">
        <v>6</v>
      </c>
    </row>
    <row r="292" spans="1:5" ht="15" hidden="1" x14ac:dyDescent="0.25">
      <c r="A292" s="3">
        <v>804560</v>
      </c>
      <c r="B292" s="4" t="s">
        <v>291</v>
      </c>
      <c r="C292">
        <v>1</v>
      </c>
      <c r="E292" t="s">
        <v>6</v>
      </c>
    </row>
    <row r="293" spans="1:5" ht="15" hidden="1" x14ac:dyDescent="0.25">
      <c r="A293" s="3">
        <v>804565</v>
      </c>
      <c r="B293" s="4" t="s">
        <v>292</v>
      </c>
      <c r="C293">
        <v>1</v>
      </c>
      <c r="E293" t="s">
        <v>6</v>
      </c>
    </row>
    <row r="294" spans="1:5" ht="15" hidden="1" x14ac:dyDescent="0.25">
      <c r="A294" s="3">
        <v>804570</v>
      </c>
      <c r="B294" s="4" t="s">
        <v>293</v>
      </c>
      <c r="C294">
        <v>1</v>
      </c>
      <c r="E294" t="s">
        <v>6</v>
      </c>
    </row>
    <row r="295" spans="1:5" ht="15" hidden="1" x14ac:dyDescent="0.25">
      <c r="A295" s="3">
        <v>804575</v>
      </c>
      <c r="B295" s="4" t="s">
        <v>294</v>
      </c>
      <c r="C295">
        <v>1</v>
      </c>
      <c r="E295" t="s">
        <v>6</v>
      </c>
    </row>
    <row r="296" spans="1:5" ht="15" hidden="1" x14ac:dyDescent="0.25">
      <c r="A296" s="3">
        <v>804580</v>
      </c>
      <c r="B296" s="4" t="s">
        <v>295</v>
      </c>
      <c r="C296">
        <v>1</v>
      </c>
      <c r="E296" t="s">
        <v>6</v>
      </c>
    </row>
    <row r="297" spans="1:5" ht="15" hidden="1" x14ac:dyDescent="0.25">
      <c r="A297" s="3">
        <v>804585</v>
      </c>
      <c r="B297" s="4" t="s">
        <v>296</v>
      </c>
      <c r="C297">
        <v>1</v>
      </c>
      <c r="E297" t="s">
        <v>6</v>
      </c>
    </row>
    <row r="298" spans="1:5" ht="15" hidden="1" x14ac:dyDescent="0.25">
      <c r="A298" s="3">
        <v>804593</v>
      </c>
      <c r="B298" s="4" t="s">
        <v>297</v>
      </c>
      <c r="C298">
        <v>1</v>
      </c>
      <c r="E298" t="s">
        <v>6</v>
      </c>
    </row>
    <row r="299" spans="1:5" ht="15" hidden="1" x14ac:dyDescent="0.25">
      <c r="A299" s="3">
        <v>904550</v>
      </c>
      <c r="B299" s="4" t="s">
        <v>298</v>
      </c>
      <c r="C299">
        <v>1</v>
      </c>
      <c r="E299" t="s">
        <v>6</v>
      </c>
    </row>
    <row r="300" spans="1:5" ht="15" hidden="1" x14ac:dyDescent="0.25">
      <c r="A300" s="3">
        <v>904555</v>
      </c>
      <c r="B300" s="4" t="s">
        <v>299</v>
      </c>
      <c r="C300">
        <v>1</v>
      </c>
      <c r="E300" t="s">
        <v>6</v>
      </c>
    </row>
    <row r="301" spans="1:5" ht="15" hidden="1" x14ac:dyDescent="0.25">
      <c r="A301" s="3">
        <v>904560</v>
      </c>
      <c r="B301" s="4" t="s">
        <v>300</v>
      </c>
      <c r="C301">
        <v>1</v>
      </c>
      <c r="E301" t="s">
        <v>6</v>
      </c>
    </row>
    <row r="302" spans="1:5" ht="15" hidden="1" x14ac:dyDescent="0.25">
      <c r="A302" s="3">
        <v>904565</v>
      </c>
      <c r="B302" s="4" t="s">
        <v>301</v>
      </c>
      <c r="C302">
        <v>1</v>
      </c>
      <c r="E302" t="s">
        <v>6</v>
      </c>
    </row>
    <row r="303" spans="1:5" ht="15" hidden="1" x14ac:dyDescent="0.25">
      <c r="A303" s="3">
        <v>904570</v>
      </c>
      <c r="B303" s="4" t="s">
        <v>302</v>
      </c>
      <c r="C303">
        <v>1</v>
      </c>
      <c r="E303" t="s">
        <v>6</v>
      </c>
    </row>
    <row r="304" spans="1:5" ht="15" hidden="1" x14ac:dyDescent="0.25">
      <c r="A304" s="3">
        <v>904575</v>
      </c>
      <c r="B304" s="4" t="s">
        <v>303</v>
      </c>
      <c r="C304">
        <v>1</v>
      </c>
      <c r="E304" t="s">
        <v>6</v>
      </c>
    </row>
    <row r="305" spans="1:5" ht="15" hidden="1" x14ac:dyDescent="0.25">
      <c r="A305" s="3">
        <v>904580</v>
      </c>
      <c r="B305" s="4" t="s">
        <v>304</v>
      </c>
      <c r="C305">
        <v>1</v>
      </c>
      <c r="E305" t="s">
        <v>6</v>
      </c>
    </row>
    <row r="306" spans="1:5" ht="15" hidden="1" x14ac:dyDescent="0.25">
      <c r="A306" s="3">
        <v>904585</v>
      </c>
      <c r="B306" s="4" t="s">
        <v>305</v>
      </c>
      <c r="C306">
        <v>1</v>
      </c>
      <c r="E306" t="s">
        <v>6</v>
      </c>
    </row>
    <row r="307" spans="1:5" ht="15" hidden="1" x14ac:dyDescent="0.25">
      <c r="A307" s="3">
        <v>904593</v>
      </c>
      <c r="B307" s="4" t="s">
        <v>306</v>
      </c>
      <c r="C307">
        <v>1</v>
      </c>
      <c r="E307" t="s">
        <v>6</v>
      </c>
    </row>
    <row r="308" spans="1:5" ht="15" hidden="1" x14ac:dyDescent="0.25">
      <c r="A308" s="3">
        <v>805010</v>
      </c>
      <c r="B308" s="4" t="s">
        <v>307</v>
      </c>
      <c r="C308">
        <v>1</v>
      </c>
      <c r="E308" t="s">
        <v>6</v>
      </c>
    </row>
    <row r="309" spans="1:5" ht="15" hidden="1" x14ac:dyDescent="0.25">
      <c r="A309" s="3">
        <v>805011</v>
      </c>
      <c r="B309" s="4" t="s">
        <v>308</v>
      </c>
      <c r="C309">
        <v>1</v>
      </c>
      <c r="E309" t="s">
        <v>6</v>
      </c>
    </row>
    <row r="310" spans="1:5" ht="15" hidden="1" x14ac:dyDescent="0.25">
      <c r="A310" s="3">
        <v>805012</v>
      </c>
      <c r="B310" s="4" t="s">
        <v>309</v>
      </c>
      <c r="C310">
        <v>1</v>
      </c>
      <c r="E310" t="s">
        <v>6</v>
      </c>
    </row>
    <row r="311" spans="1:5" ht="15" hidden="1" x14ac:dyDescent="0.25">
      <c r="A311" s="3">
        <v>805055</v>
      </c>
      <c r="B311" s="4" t="s">
        <v>310</v>
      </c>
      <c r="C311">
        <v>1</v>
      </c>
      <c r="E311" t="s">
        <v>6</v>
      </c>
    </row>
    <row r="312" spans="1:5" ht="15" hidden="1" x14ac:dyDescent="0.25">
      <c r="A312" s="3">
        <v>805060</v>
      </c>
      <c r="B312" s="4" t="s">
        <v>311</v>
      </c>
      <c r="C312">
        <v>1</v>
      </c>
      <c r="E312" t="s">
        <v>6</v>
      </c>
    </row>
    <row r="313" spans="1:5" ht="15" hidden="1" x14ac:dyDescent="0.25">
      <c r="A313" s="3">
        <v>805065</v>
      </c>
      <c r="B313" s="4" t="s">
        <v>312</v>
      </c>
      <c r="C313">
        <v>1</v>
      </c>
      <c r="E313" t="s">
        <v>6</v>
      </c>
    </row>
    <row r="314" spans="1:5" ht="15" hidden="1" x14ac:dyDescent="0.25">
      <c r="A314" s="3">
        <v>805070</v>
      </c>
      <c r="B314" s="4" t="s">
        <v>313</v>
      </c>
      <c r="C314">
        <v>1</v>
      </c>
      <c r="E314" t="s">
        <v>6</v>
      </c>
    </row>
    <row r="315" spans="1:5" ht="15" hidden="1" x14ac:dyDescent="0.25">
      <c r="A315" s="3">
        <v>805075</v>
      </c>
      <c r="B315" s="4" t="s">
        <v>314</v>
      </c>
      <c r="C315">
        <v>1</v>
      </c>
      <c r="E315" t="s">
        <v>6</v>
      </c>
    </row>
    <row r="316" spans="1:5" ht="15" hidden="1" x14ac:dyDescent="0.25">
      <c r="A316" s="3">
        <v>805080</v>
      </c>
      <c r="B316" s="4" t="s">
        <v>315</v>
      </c>
      <c r="C316">
        <v>1</v>
      </c>
      <c r="E316" t="s">
        <v>6</v>
      </c>
    </row>
    <row r="317" spans="1:5" ht="15" hidden="1" x14ac:dyDescent="0.25">
      <c r="A317" s="3">
        <v>805085</v>
      </c>
      <c r="B317" s="4" t="s">
        <v>316</v>
      </c>
      <c r="C317">
        <v>1</v>
      </c>
      <c r="E317" t="s">
        <v>6</v>
      </c>
    </row>
    <row r="318" spans="1:5" ht="15" hidden="1" x14ac:dyDescent="0.25">
      <c r="A318" s="3">
        <v>805090</v>
      </c>
      <c r="B318" s="4" t="s">
        <v>317</v>
      </c>
      <c r="C318">
        <v>1</v>
      </c>
      <c r="E318" t="s">
        <v>6</v>
      </c>
    </row>
    <row r="319" spans="1:5" ht="15" hidden="1" x14ac:dyDescent="0.25">
      <c r="A319" s="3">
        <v>905010</v>
      </c>
      <c r="B319" s="4" t="s">
        <v>318</v>
      </c>
      <c r="C319">
        <v>1</v>
      </c>
      <c r="E319" t="s">
        <v>6</v>
      </c>
    </row>
    <row r="320" spans="1:5" ht="15" hidden="1" x14ac:dyDescent="0.25">
      <c r="A320" s="3">
        <v>905011</v>
      </c>
      <c r="B320" s="4" t="s">
        <v>319</v>
      </c>
      <c r="C320">
        <v>1</v>
      </c>
      <c r="E320" t="s">
        <v>6</v>
      </c>
    </row>
    <row r="321" spans="1:5" ht="15" hidden="1" x14ac:dyDescent="0.25">
      <c r="A321" s="3">
        <v>905012</v>
      </c>
      <c r="B321" s="4" t="s">
        <v>320</v>
      </c>
      <c r="C321">
        <v>1</v>
      </c>
      <c r="E321" t="s">
        <v>6</v>
      </c>
    </row>
    <row r="322" spans="1:5" ht="15" hidden="1" x14ac:dyDescent="0.25">
      <c r="A322" s="3">
        <v>905055</v>
      </c>
      <c r="B322" s="4" t="s">
        <v>321</v>
      </c>
      <c r="C322">
        <v>1</v>
      </c>
      <c r="E322" t="s">
        <v>6</v>
      </c>
    </row>
    <row r="323" spans="1:5" ht="15" hidden="1" x14ac:dyDescent="0.25">
      <c r="A323" s="3">
        <v>905060</v>
      </c>
      <c r="B323" s="4" t="s">
        <v>322</v>
      </c>
      <c r="C323">
        <v>1</v>
      </c>
      <c r="E323" t="s">
        <v>6</v>
      </c>
    </row>
    <row r="324" spans="1:5" ht="15" hidden="1" x14ac:dyDescent="0.25">
      <c r="A324" s="3">
        <v>905065</v>
      </c>
      <c r="B324" s="4" t="s">
        <v>323</v>
      </c>
      <c r="C324">
        <v>1</v>
      </c>
      <c r="E324" t="s">
        <v>6</v>
      </c>
    </row>
    <row r="325" spans="1:5" ht="15" hidden="1" x14ac:dyDescent="0.25">
      <c r="A325" s="3">
        <v>905070</v>
      </c>
      <c r="B325" s="4" t="s">
        <v>324</v>
      </c>
      <c r="C325">
        <v>1</v>
      </c>
      <c r="E325" t="s">
        <v>6</v>
      </c>
    </row>
    <row r="326" spans="1:5" ht="15" hidden="1" x14ac:dyDescent="0.25">
      <c r="A326" s="3">
        <v>905075</v>
      </c>
      <c r="B326" s="4" t="s">
        <v>325</v>
      </c>
      <c r="C326">
        <v>1</v>
      </c>
      <c r="E326" t="s">
        <v>6</v>
      </c>
    </row>
    <row r="327" spans="1:5" ht="15" hidden="1" x14ac:dyDescent="0.25">
      <c r="A327" s="3">
        <v>905080</v>
      </c>
      <c r="B327" s="4" t="s">
        <v>326</v>
      </c>
      <c r="C327">
        <v>1</v>
      </c>
      <c r="E327" t="s">
        <v>6</v>
      </c>
    </row>
    <row r="328" spans="1:5" ht="15" hidden="1" x14ac:dyDescent="0.25">
      <c r="A328" s="3">
        <v>905085</v>
      </c>
      <c r="B328" s="4" t="s">
        <v>327</v>
      </c>
      <c r="C328">
        <v>1</v>
      </c>
      <c r="E328" t="s">
        <v>6</v>
      </c>
    </row>
    <row r="329" spans="1:5" ht="15" hidden="1" x14ac:dyDescent="0.25">
      <c r="A329" s="3">
        <v>905090</v>
      </c>
      <c r="B329" s="4" t="s">
        <v>328</v>
      </c>
      <c r="C329">
        <v>1</v>
      </c>
      <c r="E329" t="s">
        <v>6</v>
      </c>
    </row>
    <row r="330" spans="1:5" ht="15" hidden="1" x14ac:dyDescent="0.25">
      <c r="A330" s="3">
        <v>805560</v>
      </c>
      <c r="B330" s="4" t="s">
        <v>329</v>
      </c>
      <c r="C330">
        <v>1</v>
      </c>
      <c r="E330" t="s">
        <v>6</v>
      </c>
    </row>
    <row r="331" spans="1:5" ht="15" hidden="1" x14ac:dyDescent="0.25">
      <c r="A331" s="3">
        <v>805562</v>
      </c>
      <c r="B331" s="4" t="s">
        <v>330</v>
      </c>
      <c r="C331">
        <v>1</v>
      </c>
      <c r="E331" t="s">
        <v>6</v>
      </c>
    </row>
    <row r="332" spans="1:5" ht="15" hidden="1" x14ac:dyDescent="0.25">
      <c r="A332" s="3">
        <v>805565</v>
      </c>
      <c r="B332" s="4" t="s">
        <v>331</v>
      </c>
      <c r="C332">
        <v>1</v>
      </c>
      <c r="E332" t="s">
        <v>6</v>
      </c>
    </row>
    <row r="333" spans="1:5" ht="15" hidden="1" x14ac:dyDescent="0.25">
      <c r="A333" s="3">
        <v>805570</v>
      </c>
      <c r="B333" s="4" t="s">
        <v>332</v>
      </c>
      <c r="C333">
        <v>1</v>
      </c>
      <c r="E333" t="s">
        <v>6</v>
      </c>
    </row>
    <row r="334" spans="1:5" ht="15" hidden="1" x14ac:dyDescent="0.25">
      <c r="A334" s="3">
        <v>805575</v>
      </c>
      <c r="B334" s="4" t="s">
        <v>333</v>
      </c>
      <c r="C334">
        <v>1</v>
      </c>
      <c r="E334" t="s">
        <v>6</v>
      </c>
    </row>
    <row r="335" spans="1:5" ht="15" hidden="1" x14ac:dyDescent="0.25">
      <c r="A335" s="3">
        <v>805580</v>
      </c>
      <c r="B335" s="4" t="s">
        <v>334</v>
      </c>
      <c r="C335">
        <v>1</v>
      </c>
      <c r="E335" t="s">
        <v>6</v>
      </c>
    </row>
    <row r="336" spans="1:5" ht="15" hidden="1" x14ac:dyDescent="0.25">
      <c r="A336" s="3">
        <v>805585</v>
      </c>
      <c r="B336" s="4" t="s">
        <v>335</v>
      </c>
      <c r="C336">
        <v>1</v>
      </c>
      <c r="E336" t="s">
        <v>6</v>
      </c>
    </row>
    <row r="337" spans="1:5" ht="15" hidden="1" x14ac:dyDescent="0.25">
      <c r="A337" s="3">
        <v>905590</v>
      </c>
      <c r="B337" s="4" t="s">
        <v>336</v>
      </c>
      <c r="C337">
        <v>1</v>
      </c>
      <c r="E337" t="s">
        <v>6</v>
      </c>
    </row>
    <row r="338" spans="1:5" ht="15" hidden="1" x14ac:dyDescent="0.25">
      <c r="A338" s="3">
        <v>905560</v>
      </c>
      <c r="B338" s="4" t="s">
        <v>337</v>
      </c>
      <c r="C338">
        <v>1</v>
      </c>
      <c r="E338" t="s">
        <v>6</v>
      </c>
    </row>
    <row r="339" spans="1:5" ht="15" hidden="1" x14ac:dyDescent="0.25">
      <c r="A339" s="3">
        <v>905562</v>
      </c>
      <c r="B339" s="4" t="s">
        <v>338</v>
      </c>
      <c r="C339">
        <v>1</v>
      </c>
      <c r="E339" t="s">
        <v>6</v>
      </c>
    </row>
    <row r="340" spans="1:5" ht="15" hidden="1" x14ac:dyDescent="0.25">
      <c r="A340" s="3">
        <v>905565</v>
      </c>
      <c r="B340" s="4" t="s">
        <v>339</v>
      </c>
      <c r="C340">
        <v>1</v>
      </c>
      <c r="E340" t="s">
        <v>6</v>
      </c>
    </row>
    <row r="341" spans="1:5" ht="15" hidden="1" x14ac:dyDescent="0.25">
      <c r="A341" s="3">
        <v>905570</v>
      </c>
      <c r="B341" s="4" t="s">
        <v>340</v>
      </c>
      <c r="C341">
        <v>1</v>
      </c>
      <c r="E341" t="s">
        <v>6</v>
      </c>
    </row>
    <row r="342" spans="1:5" ht="15" hidden="1" x14ac:dyDescent="0.25">
      <c r="A342" s="3">
        <v>905580</v>
      </c>
      <c r="B342" s="4" t="s">
        <v>341</v>
      </c>
      <c r="C342">
        <v>1</v>
      </c>
      <c r="E342" t="s">
        <v>6</v>
      </c>
    </row>
    <row r="343" spans="1:5" ht="15" hidden="1" x14ac:dyDescent="0.25">
      <c r="A343" s="3">
        <v>905585</v>
      </c>
      <c r="B343" s="4" t="s">
        <v>342</v>
      </c>
      <c r="C343">
        <v>1</v>
      </c>
      <c r="E343" t="s">
        <v>6</v>
      </c>
    </row>
    <row r="344" spans="1:5" ht="15" hidden="1" x14ac:dyDescent="0.25">
      <c r="A344" s="3">
        <v>806070</v>
      </c>
      <c r="B344" s="4" t="s">
        <v>343</v>
      </c>
      <c r="C344">
        <v>1</v>
      </c>
      <c r="E344" t="s">
        <v>6</v>
      </c>
    </row>
    <row r="345" spans="1:5" ht="15" hidden="1" x14ac:dyDescent="0.25">
      <c r="A345" s="3">
        <v>806075</v>
      </c>
      <c r="B345" s="4" t="s">
        <v>344</v>
      </c>
      <c r="C345">
        <v>1</v>
      </c>
      <c r="E345" t="s">
        <v>6</v>
      </c>
    </row>
    <row r="346" spans="1:5" ht="15" hidden="1" x14ac:dyDescent="0.25">
      <c r="A346" s="3">
        <v>806080</v>
      </c>
      <c r="B346" s="4" t="s">
        <v>345</v>
      </c>
      <c r="C346">
        <v>1</v>
      </c>
      <c r="E346" t="s">
        <v>6</v>
      </c>
    </row>
    <row r="347" spans="1:5" ht="15" hidden="1" x14ac:dyDescent="0.25">
      <c r="A347" s="3">
        <v>806095</v>
      </c>
      <c r="B347" s="4" t="s">
        <v>346</v>
      </c>
      <c r="C347">
        <v>1</v>
      </c>
      <c r="E347" t="s">
        <v>6</v>
      </c>
    </row>
    <row r="348" spans="1:5" ht="15" hidden="1" x14ac:dyDescent="0.25">
      <c r="A348" s="3">
        <v>906010</v>
      </c>
      <c r="B348" s="4" t="s">
        <v>1225</v>
      </c>
      <c r="E348" t="s">
        <v>6</v>
      </c>
    </row>
    <row r="349" spans="1:5" ht="15" hidden="1" x14ac:dyDescent="0.25">
      <c r="A349" s="3">
        <v>906070</v>
      </c>
      <c r="B349" s="4" t="s">
        <v>347</v>
      </c>
      <c r="C349">
        <v>1</v>
      </c>
      <c r="E349" t="s">
        <v>6</v>
      </c>
    </row>
    <row r="350" spans="1:5" ht="15" hidden="1" x14ac:dyDescent="0.25">
      <c r="A350" s="3">
        <v>906075</v>
      </c>
      <c r="B350" s="4" t="s">
        <v>348</v>
      </c>
      <c r="C350">
        <v>1</v>
      </c>
      <c r="E350" t="s">
        <v>6</v>
      </c>
    </row>
    <row r="351" spans="1:5" ht="15" hidden="1" x14ac:dyDescent="0.25">
      <c r="A351" s="3">
        <v>906080</v>
      </c>
      <c r="B351" s="4" t="s">
        <v>349</v>
      </c>
      <c r="C351">
        <v>1</v>
      </c>
      <c r="E351" t="s">
        <v>6</v>
      </c>
    </row>
    <row r="352" spans="1:5" ht="15" hidden="1" x14ac:dyDescent="0.25">
      <c r="A352" s="3">
        <v>806570</v>
      </c>
      <c r="B352" s="4" t="s">
        <v>350</v>
      </c>
      <c r="C352">
        <v>1</v>
      </c>
      <c r="E352" t="s">
        <v>6</v>
      </c>
    </row>
    <row r="353" spans="1:5" ht="15" hidden="1" x14ac:dyDescent="0.25">
      <c r="A353" s="3">
        <v>806585</v>
      </c>
      <c r="B353" s="4" t="s">
        <v>351</v>
      </c>
      <c r="C353">
        <v>1</v>
      </c>
      <c r="E353" t="s">
        <v>6</v>
      </c>
    </row>
    <row r="354" spans="1:5" ht="15" hidden="1" x14ac:dyDescent="0.25">
      <c r="A354" s="3">
        <v>906585</v>
      </c>
      <c r="B354" s="4" t="s">
        <v>352</v>
      </c>
      <c r="C354">
        <v>1</v>
      </c>
      <c r="E354" t="s">
        <v>6</v>
      </c>
    </row>
    <row r="355" spans="1:5" ht="15" hidden="1" x14ac:dyDescent="0.25">
      <c r="A355" s="3">
        <v>906585</v>
      </c>
      <c r="B355" s="4" t="s">
        <v>352</v>
      </c>
      <c r="C355" t="s">
        <v>14</v>
      </c>
      <c r="E355" t="s">
        <v>15</v>
      </c>
    </row>
    <row r="356" spans="1:5" ht="15" hidden="1" x14ac:dyDescent="0.25">
      <c r="A356" s="3">
        <v>807010</v>
      </c>
      <c r="B356" s="4" t="s">
        <v>353</v>
      </c>
      <c r="C356">
        <v>1</v>
      </c>
      <c r="E356" t="s">
        <v>6</v>
      </c>
    </row>
    <row r="357" spans="1:5" ht="15" hidden="1" x14ac:dyDescent="0.25">
      <c r="A357" s="3">
        <v>807080</v>
      </c>
      <c r="B357" s="4" t="s">
        <v>354</v>
      </c>
      <c r="C357">
        <v>1</v>
      </c>
      <c r="E357" t="s">
        <v>6</v>
      </c>
    </row>
    <row r="358" spans="1:5" ht="15" hidden="1" x14ac:dyDescent="0.25">
      <c r="A358" s="3">
        <v>907010</v>
      </c>
      <c r="B358" s="4" t="s">
        <v>355</v>
      </c>
      <c r="C358">
        <v>1</v>
      </c>
      <c r="E358" t="s">
        <v>6</v>
      </c>
    </row>
    <row r="359" spans="1:5" ht="15" hidden="1" x14ac:dyDescent="0.25">
      <c r="A359" s="3">
        <v>907080</v>
      </c>
      <c r="B359" s="4" t="s">
        <v>356</v>
      </c>
      <c r="C359">
        <v>1</v>
      </c>
      <c r="E359" t="s">
        <v>6</v>
      </c>
    </row>
    <row r="360" spans="1:5" ht="15" hidden="1" x14ac:dyDescent="0.25">
      <c r="A360" s="3">
        <v>77</v>
      </c>
      <c r="B360" s="4" t="s">
        <v>357</v>
      </c>
      <c r="C360" t="s">
        <v>14</v>
      </c>
      <c r="E360" t="s">
        <v>15</v>
      </c>
    </row>
    <row r="361" spans="1:5" ht="15" hidden="1" x14ac:dyDescent="0.25">
      <c r="A361" s="3">
        <v>76</v>
      </c>
      <c r="B361" s="4" t="s">
        <v>358</v>
      </c>
      <c r="C361" t="s">
        <v>14</v>
      </c>
      <c r="E361" t="s">
        <v>15</v>
      </c>
    </row>
    <row r="362" spans="1:5" ht="15" hidden="1" x14ac:dyDescent="0.25">
      <c r="A362" s="3">
        <v>75</v>
      </c>
      <c r="B362" s="4" t="s">
        <v>359</v>
      </c>
      <c r="C362" t="s">
        <v>14</v>
      </c>
      <c r="E362" t="s">
        <v>15</v>
      </c>
    </row>
    <row r="363" spans="1:5" ht="15" hidden="1" x14ac:dyDescent="0.25">
      <c r="A363" s="3">
        <v>78</v>
      </c>
      <c r="B363" s="4" t="s">
        <v>360</v>
      </c>
      <c r="C363" t="s">
        <v>14</v>
      </c>
      <c r="E363" t="s">
        <v>15</v>
      </c>
    </row>
    <row r="364" spans="1:5" ht="15" hidden="1" x14ac:dyDescent="0.25">
      <c r="A364" s="3">
        <v>57</v>
      </c>
      <c r="B364" s="4" t="s">
        <v>361</v>
      </c>
      <c r="C364" t="s">
        <v>14</v>
      </c>
      <c r="E364" t="s">
        <v>15</v>
      </c>
    </row>
    <row r="365" spans="1:5" ht="15" hidden="1" x14ac:dyDescent="0.25">
      <c r="A365" s="3">
        <v>72</v>
      </c>
      <c r="B365" s="4" t="s">
        <v>362</v>
      </c>
      <c r="C365" t="s">
        <v>14</v>
      </c>
      <c r="E365" t="s">
        <v>15</v>
      </c>
    </row>
    <row r="366" spans="1:5" ht="15" hidden="1" x14ac:dyDescent="0.25">
      <c r="A366" s="3">
        <v>83</v>
      </c>
      <c r="B366" s="4" t="s">
        <v>363</v>
      </c>
      <c r="C366" t="s">
        <v>14</v>
      </c>
      <c r="E366" t="s">
        <v>15</v>
      </c>
    </row>
    <row r="367" spans="1:5" ht="15" hidden="1" x14ac:dyDescent="0.25">
      <c r="A367" s="3">
        <v>50</v>
      </c>
      <c r="B367" s="4" t="s">
        <v>364</v>
      </c>
      <c r="C367" t="s">
        <v>14</v>
      </c>
      <c r="E367" t="s">
        <v>15</v>
      </c>
    </row>
    <row r="368" spans="1:5" ht="15" hidden="1" x14ac:dyDescent="0.25">
      <c r="A368" s="3">
        <v>69</v>
      </c>
      <c r="B368" s="4" t="s">
        <v>365</v>
      </c>
      <c r="C368" t="s">
        <v>14</v>
      </c>
      <c r="E368" t="s">
        <v>15</v>
      </c>
    </row>
    <row r="369" spans="1:5" ht="15" hidden="1" x14ac:dyDescent="0.25">
      <c r="A369" s="3">
        <v>51</v>
      </c>
      <c r="B369" s="4" t="s">
        <v>366</v>
      </c>
      <c r="C369" t="s">
        <v>14</v>
      </c>
      <c r="E369" t="s">
        <v>15</v>
      </c>
    </row>
    <row r="370" spans="1:5" ht="15" hidden="1" x14ac:dyDescent="0.25">
      <c r="A370" s="3">
        <v>58</v>
      </c>
      <c r="B370" s="4" t="s">
        <v>367</v>
      </c>
      <c r="C370" t="s">
        <v>14</v>
      </c>
      <c r="E370" t="s">
        <v>15</v>
      </c>
    </row>
    <row r="371" spans="1:5" ht="15" hidden="1" x14ac:dyDescent="0.25">
      <c r="A371" s="3">
        <v>62</v>
      </c>
      <c r="B371" s="4" t="s">
        <v>368</v>
      </c>
      <c r="C371" t="s">
        <v>14</v>
      </c>
      <c r="E371" t="s">
        <v>15</v>
      </c>
    </row>
    <row r="372" spans="1:5" ht="15" hidden="1" x14ac:dyDescent="0.25">
      <c r="A372" s="3">
        <v>59</v>
      </c>
      <c r="B372" s="4" t="s">
        <v>369</v>
      </c>
      <c r="C372" t="s">
        <v>14</v>
      </c>
      <c r="E372" t="s">
        <v>15</v>
      </c>
    </row>
    <row r="373" spans="1:5" ht="15" hidden="1" x14ac:dyDescent="0.25">
      <c r="A373" s="3">
        <v>48</v>
      </c>
      <c r="B373" s="4" t="s">
        <v>370</v>
      </c>
      <c r="C373" t="s">
        <v>14</v>
      </c>
      <c r="E373" t="s">
        <v>15</v>
      </c>
    </row>
    <row r="374" spans="1:5" ht="15" hidden="1" x14ac:dyDescent="0.25">
      <c r="A374" s="3">
        <v>68</v>
      </c>
      <c r="B374" s="4" t="s">
        <v>371</v>
      </c>
      <c r="C374" t="s">
        <v>14</v>
      </c>
      <c r="E374" t="s">
        <v>15</v>
      </c>
    </row>
    <row r="375" spans="1:5" ht="15" hidden="1" x14ac:dyDescent="0.25">
      <c r="A375" s="3">
        <v>52</v>
      </c>
      <c r="B375" s="4" t="s">
        <v>372</v>
      </c>
      <c r="C375" t="s">
        <v>14</v>
      </c>
      <c r="E375" t="s">
        <v>15</v>
      </c>
    </row>
    <row r="376" spans="1:5" ht="15" hidden="1" x14ac:dyDescent="0.25">
      <c r="A376" s="3">
        <v>56</v>
      </c>
      <c r="B376" s="4" t="s">
        <v>373</v>
      </c>
      <c r="C376" t="s">
        <v>14</v>
      </c>
      <c r="E376" t="s">
        <v>15</v>
      </c>
    </row>
    <row r="377" spans="1:5" ht="15" hidden="1" x14ac:dyDescent="0.25">
      <c r="A377" s="3">
        <v>49</v>
      </c>
      <c r="B377" s="4" t="s">
        <v>374</v>
      </c>
      <c r="C377" t="s">
        <v>14</v>
      </c>
      <c r="E377" t="s">
        <v>15</v>
      </c>
    </row>
    <row r="378" spans="1:5" ht="15" hidden="1" x14ac:dyDescent="0.25">
      <c r="A378" s="3">
        <v>63</v>
      </c>
      <c r="B378" s="4" t="s">
        <v>375</v>
      </c>
      <c r="C378" t="s">
        <v>14</v>
      </c>
      <c r="E378" t="s">
        <v>15</v>
      </c>
    </row>
    <row r="379" spans="1:5" ht="15" hidden="1" x14ac:dyDescent="0.25">
      <c r="A379" s="3">
        <v>74</v>
      </c>
      <c r="B379" s="4" t="s">
        <v>376</v>
      </c>
      <c r="C379" t="s">
        <v>14</v>
      </c>
      <c r="E379" t="s">
        <v>15</v>
      </c>
    </row>
    <row r="380" spans="1:5" ht="15" hidden="1" x14ac:dyDescent="0.25">
      <c r="A380" s="3">
        <v>79</v>
      </c>
      <c r="B380" s="4" t="s">
        <v>377</v>
      </c>
      <c r="C380" t="s">
        <v>14</v>
      </c>
      <c r="E380" t="s">
        <v>15</v>
      </c>
    </row>
    <row r="381" spans="1:5" ht="15" hidden="1" x14ac:dyDescent="0.25">
      <c r="A381" s="3">
        <v>71</v>
      </c>
      <c r="B381" s="4" t="s">
        <v>378</v>
      </c>
      <c r="C381" t="s">
        <v>14</v>
      </c>
      <c r="E381" t="s">
        <v>15</v>
      </c>
    </row>
    <row r="382" spans="1:5" ht="15" hidden="1" x14ac:dyDescent="0.25">
      <c r="A382" s="3">
        <v>47</v>
      </c>
      <c r="B382" s="4" t="s">
        <v>379</v>
      </c>
      <c r="C382" t="s">
        <v>14</v>
      </c>
      <c r="E382" t="s">
        <v>15</v>
      </c>
    </row>
    <row r="383" spans="1:5" ht="15" hidden="1" x14ac:dyDescent="0.25">
      <c r="A383" s="3">
        <v>85</v>
      </c>
      <c r="B383" s="4" t="s">
        <v>380</v>
      </c>
      <c r="C383" t="s">
        <v>14</v>
      </c>
      <c r="E383" t="s">
        <v>15</v>
      </c>
    </row>
    <row r="384" spans="1:5" ht="15" hidden="1" x14ac:dyDescent="0.25">
      <c r="A384" s="3">
        <v>53</v>
      </c>
      <c r="B384" s="4" t="s">
        <v>381</v>
      </c>
      <c r="C384" t="s">
        <v>14</v>
      </c>
      <c r="E384" t="s">
        <v>15</v>
      </c>
    </row>
    <row r="385" spans="1:5" ht="15" hidden="1" x14ac:dyDescent="0.25">
      <c r="A385" s="3">
        <v>54</v>
      </c>
      <c r="B385" s="4" t="s">
        <v>382</v>
      </c>
      <c r="C385" t="s">
        <v>14</v>
      </c>
      <c r="E385" t="s">
        <v>15</v>
      </c>
    </row>
    <row r="386" spans="1:5" ht="15" hidden="1" x14ac:dyDescent="0.25">
      <c r="A386" s="3">
        <v>66</v>
      </c>
      <c r="B386" s="4" t="s">
        <v>383</v>
      </c>
      <c r="C386" t="s">
        <v>14</v>
      </c>
      <c r="E386" t="s">
        <v>15</v>
      </c>
    </row>
    <row r="387" spans="1:5" ht="15" hidden="1" x14ac:dyDescent="0.25">
      <c r="A387" s="3">
        <v>64</v>
      </c>
      <c r="B387" s="4" t="s">
        <v>384</v>
      </c>
      <c r="C387" t="s">
        <v>14</v>
      </c>
      <c r="E387" t="s">
        <v>15</v>
      </c>
    </row>
    <row r="388" spans="1:5" ht="15" hidden="1" x14ac:dyDescent="0.25">
      <c r="A388" s="3">
        <v>73</v>
      </c>
      <c r="B388" s="4" t="s">
        <v>385</v>
      </c>
      <c r="C388" t="s">
        <v>14</v>
      </c>
      <c r="E388" t="s">
        <v>15</v>
      </c>
    </row>
    <row r="389" spans="1:5" ht="15" hidden="1" x14ac:dyDescent="0.25">
      <c r="A389" s="3">
        <v>55</v>
      </c>
      <c r="B389" s="4" t="s">
        <v>386</v>
      </c>
      <c r="C389" t="s">
        <v>14</v>
      </c>
      <c r="E389" t="s">
        <v>15</v>
      </c>
    </row>
    <row r="390" spans="1:5" ht="15" hidden="1" x14ac:dyDescent="0.25">
      <c r="A390" s="3">
        <v>65</v>
      </c>
      <c r="B390" s="4" t="s">
        <v>387</v>
      </c>
      <c r="C390" t="s">
        <v>14</v>
      </c>
      <c r="E390" t="s">
        <v>15</v>
      </c>
    </row>
    <row r="391" spans="1:5" ht="15" hidden="1" x14ac:dyDescent="0.25">
      <c r="A391" s="3">
        <v>70</v>
      </c>
      <c r="B391" s="4" t="s">
        <v>388</v>
      </c>
      <c r="C391" t="s">
        <v>14</v>
      </c>
      <c r="E391" t="s">
        <v>15</v>
      </c>
    </row>
    <row r="392" spans="1:5" ht="15" hidden="1" x14ac:dyDescent="0.25">
      <c r="A392" s="3">
        <v>61</v>
      </c>
      <c r="B392" s="4" t="s">
        <v>389</v>
      </c>
      <c r="C392" t="s">
        <v>14</v>
      </c>
      <c r="E392" t="s">
        <v>15</v>
      </c>
    </row>
    <row r="393" spans="1:5" ht="15" hidden="1" x14ac:dyDescent="0.25">
      <c r="A393" s="3">
        <v>67</v>
      </c>
      <c r="B393" s="4" t="s">
        <v>390</v>
      </c>
      <c r="C393" t="s">
        <v>14</v>
      </c>
      <c r="E393" t="s">
        <v>15</v>
      </c>
    </row>
    <row r="394" spans="1:5" ht="15" hidden="1" x14ac:dyDescent="0.25">
      <c r="A394" s="3">
        <v>44</v>
      </c>
      <c r="B394" s="4" t="s">
        <v>391</v>
      </c>
      <c r="C394" t="s">
        <v>14</v>
      </c>
      <c r="E394" t="s">
        <v>15</v>
      </c>
    </row>
    <row r="395" spans="1:5" ht="15" hidden="1" x14ac:dyDescent="0.25">
      <c r="A395" s="3">
        <v>45</v>
      </c>
      <c r="B395" s="4" t="s">
        <v>392</v>
      </c>
      <c r="C395" t="s">
        <v>14</v>
      </c>
      <c r="E395" t="s">
        <v>15</v>
      </c>
    </row>
    <row r="396" spans="1:5" ht="15" hidden="1" x14ac:dyDescent="0.25">
      <c r="A396" s="3">
        <v>46</v>
      </c>
      <c r="B396" s="4" t="s">
        <v>393</v>
      </c>
      <c r="C396" t="s">
        <v>14</v>
      </c>
      <c r="E396" t="s">
        <v>15</v>
      </c>
    </row>
    <row r="397" spans="1:5" ht="15" hidden="1" x14ac:dyDescent="0.25">
      <c r="A397" s="3">
        <v>43</v>
      </c>
      <c r="B397" s="4" t="s">
        <v>394</v>
      </c>
      <c r="C397" t="s">
        <v>14</v>
      </c>
      <c r="E397" t="s">
        <v>15</v>
      </c>
    </row>
    <row r="398" spans="1:5" ht="15" hidden="1" x14ac:dyDescent="0.25">
      <c r="A398" s="3">
        <v>2536</v>
      </c>
      <c r="B398" s="4" t="s">
        <v>395</v>
      </c>
      <c r="C398" t="s">
        <v>14</v>
      </c>
      <c r="E398" t="s">
        <v>15</v>
      </c>
    </row>
    <row r="399" spans="1:5" ht="15" hidden="1" x14ac:dyDescent="0.25">
      <c r="A399" s="7">
        <v>410</v>
      </c>
      <c r="B399" s="7" t="s">
        <v>396</v>
      </c>
      <c r="C399">
        <v>14.5</v>
      </c>
      <c r="E399" t="s">
        <v>6</v>
      </c>
    </row>
    <row r="400" spans="1:5" ht="15" hidden="1" x14ac:dyDescent="0.25">
      <c r="A400" s="3">
        <v>662</v>
      </c>
      <c r="B400" s="7" t="s">
        <v>397</v>
      </c>
      <c r="C400" t="s">
        <v>14</v>
      </c>
      <c r="E400" t="s">
        <v>15</v>
      </c>
    </row>
    <row r="401" spans="1:5" ht="15" hidden="1" x14ac:dyDescent="0.25">
      <c r="A401" s="3">
        <v>407</v>
      </c>
      <c r="B401" s="7" t="s">
        <v>398</v>
      </c>
      <c r="C401" t="s">
        <v>14</v>
      </c>
      <c r="E401" t="s">
        <v>15</v>
      </c>
    </row>
    <row r="402" spans="1:5" ht="15" hidden="1" x14ac:dyDescent="0.25">
      <c r="A402" s="3">
        <v>404</v>
      </c>
      <c r="B402" s="7" t="s">
        <v>399</v>
      </c>
      <c r="C402">
        <v>0.25</v>
      </c>
      <c r="E402" t="s">
        <v>6</v>
      </c>
    </row>
    <row r="403" spans="1:5" ht="15" hidden="1" x14ac:dyDescent="0.25">
      <c r="A403" s="3">
        <v>2208</v>
      </c>
      <c r="B403" s="8" t="s">
        <v>1226</v>
      </c>
      <c r="C403" t="s">
        <v>14</v>
      </c>
      <c r="E403" t="s">
        <v>15</v>
      </c>
    </row>
    <row r="404" spans="1:5" ht="15" hidden="1" x14ac:dyDescent="0.25">
      <c r="A404" s="3">
        <v>1716</v>
      </c>
      <c r="B404" s="8" t="s">
        <v>1227</v>
      </c>
      <c r="C404" t="s">
        <v>14</v>
      </c>
      <c r="E404" t="s">
        <v>15</v>
      </c>
    </row>
    <row r="405" spans="1:5" ht="15" hidden="1" x14ac:dyDescent="0.25">
      <c r="A405" s="3">
        <v>2118</v>
      </c>
      <c r="B405" s="8" t="s">
        <v>1228</v>
      </c>
      <c r="C405">
        <v>7.5999999999999998E-2</v>
      </c>
      <c r="E405" t="s">
        <v>6</v>
      </c>
    </row>
    <row r="406" spans="1:5" ht="15" hidden="1" x14ac:dyDescent="0.25">
      <c r="A406" s="3">
        <v>702118</v>
      </c>
      <c r="B406" s="8" t="s">
        <v>1229</v>
      </c>
      <c r="C406">
        <v>7.5999999999999998E-2</v>
      </c>
      <c r="E406" t="s">
        <v>6</v>
      </c>
    </row>
    <row r="407" spans="1:5" ht="15" hidden="1" x14ac:dyDescent="0.25">
      <c r="A407" s="3">
        <v>2159</v>
      </c>
      <c r="B407" s="8" t="s">
        <v>1230</v>
      </c>
      <c r="C407">
        <v>0.25600000000000001</v>
      </c>
      <c r="E407" t="s">
        <v>6</v>
      </c>
    </row>
    <row r="408" spans="1:5" ht="15" hidden="1" x14ac:dyDescent="0.25">
      <c r="A408" s="3">
        <v>702159</v>
      </c>
      <c r="B408" s="9" t="s">
        <v>1231</v>
      </c>
      <c r="C408">
        <v>0.25600000000000001</v>
      </c>
      <c r="E408" t="s">
        <v>6</v>
      </c>
    </row>
    <row r="409" spans="1:5" ht="15" hidden="1" x14ac:dyDescent="0.25">
      <c r="A409" s="3">
        <v>2377</v>
      </c>
      <c r="B409" s="9" t="s">
        <v>1232</v>
      </c>
      <c r="C409">
        <v>0.8</v>
      </c>
      <c r="E409" t="s">
        <v>6</v>
      </c>
    </row>
    <row r="410" spans="1:5" ht="15" hidden="1" x14ac:dyDescent="0.25">
      <c r="A410" s="3">
        <v>702377</v>
      </c>
      <c r="B410" s="9" t="s">
        <v>1233</v>
      </c>
      <c r="C410">
        <v>0.8</v>
      </c>
      <c r="E410" t="s">
        <v>6</v>
      </c>
    </row>
    <row r="411" spans="1:5" ht="15" hidden="1" x14ac:dyDescent="0.25">
      <c r="A411" s="3">
        <v>2272</v>
      </c>
      <c r="B411" s="9" t="s">
        <v>1234</v>
      </c>
      <c r="C411">
        <v>3.06</v>
      </c>
      <c r="E411" t="s">
        <v>6</v>
      </c>
    </row>
    <row r="412" spans="1:5" ht="15" hidden="1" x14ac:dyDescent="0.25">
      <c r="A412" s="3">
        <v>702272</v>
      </c>
      <c r="B412" s="9" t="s">
        <v>1235</v>
      </c>
      <c r="C412">
        <v>3.06</v>
      </c>
      <c r="E412" t="s">
        <v>6</v>
      </c>
    </row>
    <row r="413" spans="1:5" ht="15" hidden="1" x14ac:dyDescent="0.25">
      <c r="A413" s="3">
        <v>2992</v>
      </c>
      <c r="B413" s="10" t="s">
        <v>1236</v>
      </c>
      <c r="C413">
        <v>3.06</v>
      </c>
      <c r="E413" t="s">
        <v>6</v>
      </c>
    </row>
    <row r="414" spans="1:5" ht="15" hidden="1" x14ac:dyDescent="0.25">
      <c r="A414" s="3">
        <v>1410</v>
      </c>
      <c r="B414" s="10" t="s">
        <v>1237</v>
      </c>
      <c r="C414">
        <v>3.06</v>
      </c>
      <c r="E414" t="s">
        <v>6</v>
      </c>
    </row>
    <row r="415" spans="1:5" ht="15" hidden="1" x14ac:dyDescent="0.25">
      <c r="A415" s="3">
        <v>1412</v>
      </c>
      <c r="B415" s="10" t="s">
        <v>1238</v>
      </c>
      <c r="C415">
        <v>3.06</v>
      </c>
      <c r="E415" t="s">
        <v>6</v>
      </c>
    </row>
    <row r="416" spans="1:5" ht="15" hidden="1" x14ac:dyDescent="0.25">
      <c r="A416" s="3">
        <v>1494</v>
      </c>
      <c r="B416" s="10" t="s">
        <v>1239</v>
      </c>
      <c r="C416">
        <v>3.06</v>
      </c>
      <c r="E416" t="s">
        <v>6</v>
      </c>
    </row>
    <row r="417" spans="1:5" ht="15" hidden="1" x14ac:dyDescent="0.25">
      <c r="A417" s="3">
        <v>2249</v>
      </c>
      <c r="B417" s="10" t="s">
        <v>1240</v>
      </c>
      <c r="C417">
        <v>3.06</v>
      </c>
      <c r="E417" t="s">
        <v>6</v>
      </c>
    </row>
    <row r="418" spans="1:5" ht="15" hidden="1" x14ac:dyDescent="0.25">
      <c r="A418" s="3">
        <v>3015</v>
      </c>
      <c r="B418" s="11" t="s">
        <v>1240</v>
      </c>
      <c r="C418">
        <v>3.06</v>
      </c>
      <c r="E418" t="s">
        <v>6</v>
      </c>
    </row>
    <row r="419" spans="1:5" ht="15" hidden="1" x14ac:dyDescent="0.25">
      <c r="A419" s="3">
        <v>2317</v>
      </c>
      <c r="B419" s="11" t="s">
        <v>1241</v>
      </c>
      <c r="C419">
        <v>3.06</v>
      </c>
      <c r="E419" t="s">
        <v>6</v>
      </c>
    </row>
    <row r="420" spans="1:5" ht="15" hidden="1" x14ac:dyDescent="0.25">
      <c r="A420" s="3">
        <v>702317</v>
      </c>
      <c r="B420" s="11" t="s">
        <v>1242</v>
      </c>
      <c r="C420">
        <v>3.06</v>
      </c>
      <c r="E420" t="s">
        <v>6</v>
      </c>
    </row>
    <row r="421" spans="1:5" ht="15" hidden="1" x14ac:dyDescent="0.25">
      <c r="A421" s="3">
        <v>2672</v>
      </c>
      <c r="B421" s="11" t="s">
        <v>1243</v>
      </c>
      <c r="C421">
        <v>3.06</v>
      </c>
      <c r="E421" t="s">
        <v>6</v>
      </c>
    </row>
    <row r="422" spans="1:5" ht="15" hidden="1" x14ac:dyDescent="0.25">
      <c r="A422" s="3">
        <v>2233</v>
      </c>
      <c r="B422" s="11" t="s">
        <v>1244</v>
      </c>
      <c r="C422">
        <v>3.21</v>
      </c>
      <c r="E422" t="s">
        <v>6</v>
      </c>
    </row>
    <row r="423" spans="1:5" ht="15" hidden="1" x14ac:dyDescent="0.25">
      <c r="A423" s="3">
        <v>1437</v>
      </c>
      <c r="B423" s="12" t="s">
        <v>1245</v>
      </c>
      <c r="C423">
        <v>3.21</v>
      </c>
      <c r="E423" t="s">
        <v>6</v>
      </c>
    </row>
    <row r="424" spans="1:5" ht="15" hidden="1" x14ac:dyDescent="0.25">
      <c r="A424" s="3">
        <v>1587</v>
      </c>
      <c r="B424" s="12" t="s">
        <v>1246</v>
      </c>
      <c r="C424">
        <v>3.21</v>
      </c>
      <c r="E424" t="s">
        <v>6</v>
      </c>
    </row>
    <row r="425" spans="1:5" ht="15" hidden="1" x14ac:dyDescent="0.25">
      <c r="A425" s="3">
        <v>2654</v>
      </c>
      <c r="B425" s="12" t="s">
        <v>1247</v>
      </c>
      <c r="C425">
        <v>4.26</v>
      </c>
      <c r="E425" t="s">
        <v>6</v>
      </c>
    </row>
    <row r="426" spans="1:5" ht="15" hidden="1" x14ac:dyDescent="0.25">
      <c r="A426" s="3">
        <v>2234</v>
      </c>
      <c r="B426" s="12" t="s">
        <v>1248</v>
      </c>
      <c r="C426">
        <v>4.26</v>
      </c>
      <c r="E426" t="s">
        <v>6</v>
      </c>
    </row>
    <row r="427" spans="1:5" ht="15" hidden="1" x14ac:dyDescent="0.25">
      <c r="A427" s="3">
        <v>702234</v>
      </c>
      <c r="B427" s="12" t="s">
        <v>1249</v>
      </c>
      <c r="C427">
        <v>4.26</v>
      </c>
      <c r="E427" t="s">
        <v>6</v>
      </c>
    </row>
    <row r="428" spans="1:5" ht="15" hidden="1" x14ac:dyDescent="0.25">
      <c r="A428" s="3">
        <v>1411</v>
      </c>
      <c r="B428" s="12" t="s">
        <v>1250</v>
      </c>
      <c r="C428">
        <v>4.26</v>
      </c>
      <c r="E428" t="s">
        <v>6</v>
      </c>
    </row>
    <row r="429" spans="1:5" ht="15" hidden="1" x14ac:dyDescent="0.25">
      <c r="A429" s="3">
        <v>1413</v>
      </c>
      <c r="B429" s="13" t="s">
        <v>1251</v>
      </c>
      <c r="C429">
        <v>4.26</v>
      </c>
      <c r="E429" t="s">
        <v>6</v>
      </c>
    </row>
    <row r="430" spans="1:5" ht="15" hidden="1" x14ac:dyDescent="0.25">
      <c r="A430" s="3">
        <v>1508</v>
      </c>
      <c r="B430" s="13" t="s">
        <v>1252</v>
      </c>
      <c r="C430">
        <v>4.26</v>
      </c>
      <c r="E430" t="s">
        <v>6</v>
      </c>
    </row>
    <row r="431" spans="1:5" ht="15" hidden="1" x14ac:dyDescent="0.25">
      <c r="A431" s="3">
        <v>2255</v>
      </c>
      <c r="B431" s="13" t="s">
        <v>1253</v>
      </c>
      <c r="C431">
        <v>4.26</v>
      </c>
      <c r="E431" t="s">
        <v>6</v>
      </c>
    </row>
    <row r="432" spans="1:5" ht="15" hidden="1" x14ac:dyDescent="0.25">
      <c r="A432" s="3">
        <v>2311</v>
      </c>
      <c r="B432" s="13" t="s">
        <v>1254</v>
      </c>
      <c r="C432">
        <v>4.26</v>
      </c>
      <c r="E432" t="s">
        <v>6</v>
      </c>
    </row>
    <row r="433" spans="1:5" ht="15" hidden="1" x14ac:dyDescent="0.25">
      <c r="A433" s="3">
        <v>702311</v>
      </c>
      <c r="B433" s="13" t="s">
        <v>1255</v>
      </c>
      <c r="C433">
        <v>4.26</v>
      </c>
      <c r="E433" t="s">
        <v>6</v>
      </c>
    </row>
    <row r="434" spans="1:5" ht="15" hidden="1" x14ac:dyDescent="0.25">
      <c r="A434" s="3">
        <v>2673</v>
      </c>
      <c r="B434" s="13" t="s">
        <v>1256</v>
      </c>
      <c r="C434">
        <v>4.26</v>
      </c>
      <c r="E434" t="s">
        <v>6</v>
      </c>
    </row>
    <row r="435" spans="1:5" ht="15" hidden="1" x14ac:dyDescent="0.25">
      <c r="A435" s="3">
        <v>2268</v>
      </c>
      <c r="B435" s="14" t="s">
        <v>1257</v>
      </c>
      <c r="C435">
        <v>4.62</v>
      </c>
      <c r="E435" t="s">
        <v>6</v>
      </c>
    </row>
    <row r="436" spans="1:5" ht="15" hidden="1" x14ac:dyDescent="0.25">
      <c r="A436" s="3">
        <v>1424</v>
      </c>
      <c r="B436" s="14" t="s">
        <v>1258</v>
      </c>
      <c r="C436">
        <v>4.62</v>
      </c>
      <c r="E436" t="s">
        <v>6</v>
      </c>
    </row>
    <row r="437" spans="1:5" ht="15" hidden="1" x14ac:dyDescent="0.25">
      <c r="A437" s="3">
        <v>1422</v>
      </c>
      <c r="B437" s="14" t="s">
        <v>1259</v>
      </c>
      <c r="C437">
        <v>4.62</v>
      </c>
      <c r="E437" t="s">
        <v>6</v>
      </c>
    </row>
    <row r="438" spans="1:5" ht="15" hidden="1" x14ac:dyDescent="0.25">
      <c r="A438" s="3">
        <v>1534</v>
      </c>
      <c r="B438" s="14" t="s">
        <v>1260</v>
      </c>
      <c r="C438">
        <v>4.26</v>
      </c>
      <c r="E438" t="s">
        <v>6</v>
      </c>
    </row>
    <row r="439" spans="1:5" ht="15" hidden="1" x14ac:dyDescent="0.25">
      <c r="A439" s="3">
        <v>2564</v>
      </c>
      <c r="B439" s="14" t="s">
        <v>1261</v>
      </c>
      <c r="C439">
        <v>4.62</v>
      </c>
      <c r="E439" t="s">
        <v>6</v>
      </c>
    </row>
    <row r="440" spans="1:5" ht="15" hidden="1" x14ac:dyDescent="0.25">
      <c r="A440" s="3">
        <v>3172</v>
      </c>
      <c r="B440" s="14" t="s">
        <v>1262</v>
      </c>
      <c r="C440">
        <v>4.62</v>
      </c>
      <c r="E440" t="s">
        <v>6</v>
      </c>
    </row>
    <row r="441" spans="1:5" ht="15" hidden="1" x14ac:dyDescent="0.25">
      <c r="A441" s="3">
        <v>1642</v>
      </c>
      <c r="B441" s="15" t="s">
        <v>1263</v>
      </c>
      <c r="C441">
        <v>5.14</v>
      </c>
      <c r="E441" t="s">
        <v>6</v>
      </c>
    </row>
    <row r="442" spans="1:5" ht="15" hidden="1" x14ac:dyDescent="0.25">
      <c r="A442" s="3">
        <v>2257</v>
      </c>
      <c r="B442" s="15" t="s">
        <v>1264</v>
      </c>
      <c r="C442">
        <v>5.14</v>
      </c>
      <c r="E442" t="s">
        <v>6</v>
      </c>
    </row>
    <row r="443" spans="1:5" ht="15" hidden="1" x14ac:dyDescent="0.25">
      <c r="A443" s="3">
        <v>702257</v>
      </c>
      <c r="B443" s="15" t="s">
        <v>1265</v>
      </c>
      <c r="C443">
        <v>5.14</v>
      </c>
      <c r="E443" t="s">
        <v>6</v>
      </c>
    </row>
    <row r="444" spans="1:5" ht="15" hidden="1" x14ac:dyDescent="0.25">
      <c r="A444" s="3">
        <v>2312</v>
      </c>
      <c r="B444" s="15" t="s">
        <v>1266</v>
      </c>
      <c r="C444">
        <v>5.14</v>
      </c>
      <c r="E444" t="s">
        <v>6</v>
      </c>
    </row>
    <row r="445" spans="1:5" ht="15" hidden="1" x14ac:dyDescent="0.25">
      <c r="A445" s="3">
        <v>702312</v>
      </c>
      <c r="B445" s="15" t="s">
        <v>1267</v>
      </c>
      <c r="C445">
        <v>5.14</v>
      </c>
      <c r="E445" t="s">
        <v>6</v>
      </c>
    </row>
    <row r="446" spans="1:5" ht="15" hidden="1" x14ac:dyDescent="0.25">
      <c r="A446" s="3">
        <v>2674</v>
      </c>
      <c r="B446" s="15" t="s">
        <v>1268</v>
      </c>
      <c r="C446">
        <v>5.14</v>
      </c>
      <c r="E446" t="s">
        <v>6</v>
      </c>
    </row>
    <row r="447" spans="1:5" ht="15" hidden="1" x14ac:dyDescent="0.25">
      <c r="A447" s="3">
        <v>3226</v>
      </c>
      <c r="B447" s="16" t="s">
        <v>1269</v>
      </c>
      <c r="C447">
        <v>5.24</v>
      </c>
      <c r="E447" t="s">
        <v>6</v>
      </c>
    </row>
    <row r="448" spans="1:5" ht="15" hidden="1" x14ac:dyDescent="0.25">
      <c r="A448" s="3">
        <v>2313</v>
      </c>
      <c r="B448" s="16" t="s">
        <v>1270</v>
      </c>
      <c r="C448">
        <v>5.24</v>
      </c>
      <c r="E448" t="s">
        <v>6</v>
      </c>
    </row>
    <row r="449" spans="1:5" ht="15" hidden="1" x14ac:dyDescent="0.25">
      <c r="A449" s="3">
        <v>1414</v>
      </c>
      <c r="B449" s="16" t="s">
        <v>1271</v>
      </c>
      <c r="C449">
        <v>5.14</v>
      </c>
      <c r="E449" t="s">
        <v>6</v>
      </c>
    </row>
    <row r="450" spans="1:5" ht="15" hidden="1" x14ac:dyDescent="0.25">
      <c r="A450" s="3">
        <v>1431</v>
      </c>
      <c r="B450" s="16" t="s">
        <v>1272</v>
      </c>
      <c r="C450">
        <v>5.14</v>
      </c>
      <c r="E450" t="s">
        <v>6</v>
      </c>
    </row>
    <row r="451" spans="1:5" ht="15" hidden="1" x14ac:dyDescent="0.25">
      <c r="A451" s="3">
        <v>1653</v>
      </c>
      <c r="B451" s="17" t="s">
        <v>1273</v>
      </c>
      <c r="C451">
        <v>5.24</v>
      </c>
      <c r="E451" t="s">
        <v>6</v>
      </c>
    </row>
    <row r="452" spans="1:5" ht="15" hidden="1" x14ac:dyDescent="0.25">
      <c r="A452" s="3">
        <v>2456</v>
      </c>
      <c r="B452" s="17" t="s">
        <v>1274</v>
      </c>
      <c r="C452">
        <v>5.24</v>
      </c>
      <c r="E452" t="s">
        <v>6</v>
      </c>
    </row>
    <row r="453" spans="1:5" ht="15" hidden="1" x14ac:dyDescent="0.25">
      <c r="A453" s="3">
        <v>2360</v>
      </c>
      <c r="B453" s="17" t="s">
        <v>1275</v>
      </c>
      <c r="C453">
        <v>0.69</v>
      </c>
      <c r="E453" t="s">
        <v>6</v>
      </c>
    </row>
    <row r="454" spans="1:5" ht="15" hidden="1" x14ac:dyDescent="0.25">
      <c r="A454" s="3">
        <v>2996</v>
      </c>
      <c r="B454" s="17" t="s">
        <v>1276</v>
      </c>
      <c r="C454">
        <v>0.69</v>
      </c>
      <c r="E454" t="s">
        <v>6</v>
      </c>
    </row>
    <row r="455" spans="1:5" ht="15" hidden="1" x14ac:dyDescent="0.25">
      <c r="A455" s="3">
        <v>2993</v>
      </c>
      <c r="B455" s="17" t="s">
        <v>1277</v>
      </c>
      <c r="C455">
        <v>0.69</v>
      </c>
      <c r="E455" t="s">
        <v>6</v>
      </c>
    </row>
    <row r="456" spans="1:5" ht="15" hidden="1" x14ac:dyDescent="0.25">
      <c r="A456" s="3">
        <v>2995</v>
      </c>
      <c r="B456" s="18" t="s">
        <v>400</v>
      </c>
      <c r="C456">
        <v>1.67</v>
      </c>
      <c r="E456" t="s">
        <v>6</v>
      </c>
    </row>
    <row r="457" spans="1:5" ht="15" hidden="1" x14ac:dyDescent="0.25">
      <c r="A457" s="3">
        <v>2994</v>
      </c>
      <c r="B457" s="18" t="s">
        <v>401</v>
      </c>
      <c r="C457">
        <v>162</v>
      </c>
      <c r="E457" t="s">
        <v>6</v>
      </c>
    </row>
    <row r="458" spans="1:5" ht="15" hidden="1" x14ac:dyDescent="0.25">
      <c r="A458" s="3">
        <v>1744</v>
      </c>
      <c r="B458" s="4" t="s">
        <v>1278</v>
      </c>
      <c r="C458">
        <v>4.55</v>
      </c>
      <c r="E458" t="s">
        <v>6</v>
      </c>
    </row>
    <row r="459" spans="1:5" ht="15" hidden="1" x14ac:dyDescent="0.25">
      <c r="A459" s="3">
        <v>2019</v>
      </c>
      <c r="B459" s="4" t="s">
        <v>1279</v>
      </c>
      <c r="C459">
        <v>3.06</v>
      </c>
      <c r="E459" t="s">
        <v>6</v>
      </c>
    </row>
    <row r="460" spans="1:5" ht="15" hidden="1" x14ac:dyDescent="0.25">
      <c r="A460" s="3">
        <v>2316</v>
      </c>
      <c r="B460" s="4" t="s">
        <v>1280</v>
      </c>
      <c r="C460">
        <v>3.06</v>
      </c>
      <c r="E460" t="s">
        <v>6</v>
      </c>
    </row>
    <row r="461" spans="1:5" ht="15" hidden="1" x14ac:dyDescent="0.25">
      <c r="A461" s="3">
        <v>3175</v>
      </c>
      <c r="B461" s="4" t="s">
        <v>1281</v>
      </c>
      <c r="C461">
        <v>3.06</v>
      </c>
      <c r="E461" t="s">
        <v>6</v>
      </c>
    </row>
    <row r="462" spans="1:5" ht="15" hidden="1" x14ac:dyDescent="0.25">
      <c r="A462" s="3">
        <v>865</v>
      </c>
      <c r="B462" s="4" t="s">
        <v>402</v>
      </c>
      <c r="C462">
        <v>2.74</v>
      </c>
      <c r="E462" t="s">
        <v>6</v>
      </c>
    </row>
    <row r="463" spans="1:5" ht="15" hidden="1" x14ac:dyDescent="0.25">
      <c r="A463" s="3">
        <v>1831</v>
      </c>
      <c r="B463" s="4" t="s">
        <v>403</v>
      </c>
      <c r="C463">
        <v>0</v>
      </c>
      <c r="E463" t="s">
        <v>6</v>
      </c>
    </row>
    <row r="464" spans="1:5" ht="15" hidden="1" x14ac:dyDescent="0.25">
      <c r="A464" s="3">
        <v>894</v>
      </c>
      <c r="B464" s="4" t="s">
        <v>404</v>
      </c>
      <c r="C464">
        <v>3.97</v>
      </c>
      <c r="E464" t="s">
        <v>6</v>
      </c>
    </row>
    <row r="465" spans="1:5" ht="15" hidden="1" x14ac:dyDescent="0.25">
      <c r="A465" s="3">
        <v>856</v>
      </c>
      <c r="B465" s="4" t="s">
        <v>405</v>
      </c>
      <c r="C465">
        <v>4.62</v>
      </c>
      <c r="E465" t="s">
        <v>6</v>
      </c>
    </row>
    <row r="466" spans="1:5" ht="15" hidden="1" x14ac:dyDescent="0.25">
      <c r="A466" s="3">
        <v>1808</v>
      </c>
      <c r="B466" s="4" t="s">
        <v>406</v>
      </c>
      <c r="C466">
        <v>4.62</v>
      </c>
      <c r="E466" t="s">
        <v>6</v>
      </c>
    </row>
    <row r="467" spans="1:5" ht="15" hidden="1" x14ac:dyDescent="0.25">
      <c r="A467" s="3">
        <v>1841</v>
      </c>
      <c r="B467" s="4" t="s">
        <v>407</v>
      </c>
      <c r="C467">
        <v>4.62</v>
      </c>
      <c r="E467" t="s">
        <v>6</v>
      </c>
    </row>
    <row r="468" spans="1:5" ht="15" hidden="1" x14ac:dyDescent="0.25">
      <c r="A468" s="3">
        <v>1743</v>
      </c>
      <c r="B468" s="4" t="s">
        <v>408</v>
      </c>
      <c r="C468">
        <v>4.62</v>
      </c>
      <c r="E468" t="s">
        <v>6</v>
      </c>
    </row>
    <row r="469" spans="1:5" ht="15" hidden="1" x14ac:dyDescent="0.25">
      <c r="A469" s="3">
        <v>1832</v>
      </c>
      <c r="B469" s="4" t="s">
        <v>409</v>
      </c>
      <c r="C469">
        <v>4.62</v>
      </c>
      <c r="E469" t="s">
        <v>6</v>
      </c>
    </row>
    <row r="470" spans="1:5" ht="15" hidden="1" x14ac:dyDescent="0.25">
      <c r="A470" s="3">
        <v>1842</v>
      </c>
      <c r="B470" s="4" t="s">
        <v>410</v>
      </c>
      <c r="C470">
        <v>4.62</v>
      </c>
      <c r="E470" t="s">
        <v>6</v>
      </c>
    </row>
    <row r="471" spans="1:5" ht="15" hidden="1" x14ac:dyDescent="0.25">
      <c r="A471" s="3">
        <v>2844</v>
      </c>
      <c r="B471" s="4" t="s">
        <v>411</v>
      </c>
      <c r="C471">
        <v>4.62</v>
      </c>
      <c r="E471" t="s">
        <v>6</v>
      </c>
    </row>
    <row r="472" spans="1:5" ht="15" hidden="1" x14ac:dyDescent="0.25">
      <c r="A472" s="3">
        <v>2620</v>
      </c>
      <c r="B472" s="4" t="s">
        <v>412</v>
      </c>
      <c r="C472">
        <v>4.55</v>
      </c>
      <c r="E472" t="s">
        <v>6</v>
      </c>
    </row>
    <row r="473" spans="1:5" ht="15" hidden="1" x14ac:dyDescent="0.25">
      <c r="A473" s="3">
        <v>2222</v>
      </c>
      <c r="B473" s="4" t="s">
        <v>413</v>
      </c>
      <c r="C473">
        <v>4.55</v>
      </c>
      <c r="E473" t="s">
        <v>6</v>
      </c>
    </row>
    <row r="474" spans="1:5" ht="15" hidden="1" x14ac:dyDescent="0.25">
      <c r="A474" s="3">
        <v>855</v>
      </c>
      <c r="B474" s="4" t="s">
        <v>414</v>
      </c>
      <c r="C474">
        <v>4.59</v>
      </c>
      <c r="E474" t="s">
        <v>6</v>
      </c>
    </row>
    <row r="475" spans="1:5" ht="15" hidden="1" x14ac:dyDescent="0.25">
      <c r="A475" s="3">
        <v>1956</v>
      </c>
      <c r="B475" s="4" t="s">
        <v>415</v>
      </c>
      <c r="C475">
        <v>0</v>
      </c>
      <c r="E475" t="s">
        <v>6</v>
      </c>
    </row>
    <row r="476" spans="1:5" ht="15" hidden="1" x14ac:dyDescent="0.25">
      <c r="A476" s="3">
        <v>895</v>
      </c>
      <c r="B476" s="4" t="s">
        <v>416</v>
      </c>
      <c r="C476">
        <v>0.25</v>
      </c>
      <c r="E476" t="s">
        <v>6</v>
      </c>
    </row>
    <row r="477" spans="1:5" ht="15" hidden="1" x14ac:dyDescent="0.25">
      <c r="A477" s="3">
        <v>2432</v>
      </c>
      <c r="B477" s="4" t="s">
        <v>417</v>
      </c>
      <c r="C477">
        <v>0.25</v>
      </c>
      <c r="E477" t="s">
        <v>6</v>
      </c>
    </row>
    <row r="478" spans="1:5" ht="15" hidden="1" x14ac:dyDescent="0.25">
      <c r="A478" s="3">
        <v>748</v>
      </c>
      <c r="B478" s="4" t="s">
        <v>418</v>
      </c>
      <c r="C478">
        <v>0.56999999999999995</v>
      </c>
      <c r="E478" t="s">
        <v>6</v>
      </c>
    </row>
    <row r="479" spans="1:5" ht="15" hidden="1" x14ac:dyDescent="0.25">
      <c r="A479" s="3">
        <v>863</v>
      </c>
      <c r="B479" s="4" t="s">
        <v>419</v>
      </c>
      <c r="C479">
        <v>0.6</v>
      </c>
      <c r="E479" t="s">
        <v>6</v>
      </c>
    </row>
    <row r="480" spans="1:5" ht="15" hidden="1" x14ac:dyDescent="0.25">
      <c r="A480" s="3">
        <v>1788</v>
      </c>
      <c r="B480" s="4" t="s">
        <v>420</v>
      </c>
      <c r="C480">
        <v>0.6</v>
      </c>
      <c r="E480" t="s">
        <v>6</v>
      </c>
    </row>
    <row r="481" spans="1:5" ht="15" hidden="1" x14ac:dyDescent="0.25">
      <c r="A481" s="3">
        <v>1394</v>
      </c>
      <c r="B481" s="4" t="s">
        <v>421</v>
      </c>
      <c r="C481">
        <v>1.55</v>
      </c>
      <c r="E481" t="s">
        <v>6</v>
      </c>
    </row>
    <row r="482" spans="1:5" ht="15" hidden="1" x14ac:dyDescent="0.25">
      <c r="A482" s="3">
        <v>1835</v>
      </c>
      <c r="B482" s="4" t="s">
        <v>422</v>
      </c>
      <c r="C482">
        <v>0.4</v>
      </c>
      <c r="E482" t="s">
        <v>6</v>
      </c>
    </row>
    <row r="483" spans="1:5" ht="15" hidden="1" x14ac:dyDescent="0.25">
      <c r="A483" s="3">
        <v>2326</v>
      </c>
      <c r="B483" s="4" t="s">
        <v>423</v>
      </c>
      <c r="C483">
        <v>0.64</v>
      </c>
      <c r="E483" t="s">
        <v>6</v>
      </c>
    </row>
    <row r="484" spans="1:5" ht="15" hidden="1" x14ac:dyDescent="0.25">
      <c r="A484" s="3">
        <v>2204</v>
      </c>
      <c r="B484" s="4" t="s">
        <v>424</v>
      </c>
      <c r="C484">
        <v>0.69</v>
      </c>
      <c r="E484" t="s">
        <v>6</v>
      </c>
    </row>
    <row r="485" spans="1:5" ht="15" hidden="1" x14ac:dyDescent="0.25">
      <c r="A485" s="3">
        <v>702204</v>
      </c>
      <c r="B485" s="4" t="s">
        <v>425</v>
      </c>
      <c r="C485">
        <v>0.69</v>
      </c>
      <c r="E485" t="s">
        <v>6</v>
      </c>
    </row>
    <row r="486" spans="1:5" ht="15" hidden="1" x14ac:dyDescent="0.25">
      <c r="A486" s="3">
        <v>2232</v>
      </c>
      <c r="B486" s="4" t="s">
        <v>426</v>
      </c>
      <c r="C486">
        <v>0.69</v>
      </c>
      <c r="E486" t="s">
        <v>6</v>
      </c>
    </row>
    <row r="487" spans="1:5" ht="15" hidden="1" x14ac:dyDescent="0.25">
      <c r="A487" s="3">
        <v>2209</v>
      </c>
      <c r="B487" s="4" t="s">
        <v>427</v>
      </c>
      <c r="C487">
        <v>0.69</v>
      </c>
      <c r="E487" t="s">
        <v>6</v>
      </c>
    </row>
    <row r="488" spans="1:5" ht="15" hidden="1" x14ac:dyDescent="0.25">
      <c r="A488" s="3">
        <v>2283</v>
      </c>
      <c r="B488" s="4" t="s">
        <v>428</v>
      </c>
      <c r="C488">
        <v>0.69</v>
      </c>
      <c r="E488" t="s">
        <v>6</v>
      </c>
    </row>
    <row r="489" spans="1:5" ht="15" hidden="1" x14ac:dyDescent="0.25">
      <c r="A489" s="3">
        <v>2202</v>
      </c>
      <c r="B489" s="4" t="s">
        <v>429</v>
      </c>
      <c r="C489">
        <v>0.69</v>
      </c>
      <c r="E489" t="s">
        <v>6</v>
      </c>
    </row>
    <row r="490" spans="1:5" ht="15" hidden="1" x14ac:dyDescent="0.25">
      <c r="A490" s="3">
        <v>702202</v>
      </c>
      <c r="B490" s="4" t="s">
        <v>430</v>
      </c>
      <c r="C490">
        <v>0.69</v>
      </c>
      <c r="E490" t="s">
        <v>6</v>
      </c>
    </row>
    <row r="491" spans="1:5" ht="15" hidden="1" x14ac:dyDescent="0.25">
      <c r="A491" s="3">
        <v>2721</v>
      </c>
      <c r="B491" s="4" t="s">
        <v>431</v>
      </c>
      <c r="C491">
        <v>0.69</v>
      </c>
      <c r="E491" t="s">
        <v>6</v>
      </c>
    </row>
    <row r="492" spans="1:5" ht="15" hidden="1" x14ac:dyDescent="0.25">
      <c r="A492" s="3">
        <v>2281</v>
      </c>
      <c r="B492" s="4" t="s">
        <v>432</v>
      </c>
      <c r="C492">
        <v>0.69</v>
      </c>
      <c r="E492" t="s">
        <v>6</v>
      </c>
    </row>
    <row r="493" spans="1:5" ht="15" hidden="1" x14ac:dyDescent="0.25">
      <c r="A493" s="3">
        <v>2230</v>
      </c>
      <c r="B493" s="4" t="s">
        <v>433</v>
      </c>
      <c r="C493">
        <v>0.64</v>
      </c>
      <c r="E493" t="s">
        <v>6</v>
      </c>
    </row>
    <row r="494" spans="1:5" ht="15" hidden="1" x14ac:dyDescent="0.25">
      <c r="A494" s="3">
        <v>2176</v>
      </c>
      <c r="B494" s="4" t="s">
        <v>434</v>
      </c>
      <c r="C494">
        <v>0.64</v>
      </c>
      <c r="E494" t="s">
        <v>6</v>
      </c>
    </row>
    <row r="495" spans="1:5" ht="15" hidden="1" x14ac:dyDescent="0.25">
      <c r="A495" s="3">
        <v>2217</v>
      </c>
      <c r="B495" s="4" t="s">
        <v>435</v>
      </c>
      <c r="C495">
        <v>0.64</v>
      </c>
      <c r="E495" t="s">
        <v>6</v>
      </c>
    </row>
    <row r="496" spans="1:5" ht="15" hidden="1" x14ac:dyDescent="0.25">
      <c r="A496" s="3">
        <v>702176</v>
      </c>
      <c r="B496" s="4" t="s">
        <v>436</v>
      </c>
      <c r="C496">
        <v>0.64</v>
      </c>
      <c r="E496" t="s">
        <v>6</v>
      </c>
    </row>
    <row r="497" spans="1:5" ht="15" hidden="1" x14ac:dyDescent="0.25">
      <c r="A497" s="3">
        <v>3262</v>
      </c>
      <c r="B497" s="4" t="s">
        <v>437</v>
      </c>
      <c r="C497">
        <v>0.64</v>
      </c>
      <c r="E497" t="s">
        <v>6</v>
      </c>
    </row>
    <row r="498" spans="1:5" ht="15" hidden="1" x14ac:dyDescent="0.25">
      <c r="A498" s="3">
        <v>702526</v>
      </c>
      <c r="B498" s="4" t="s">
        <v>438</v>
      </c>
      <c r="C498">
        <v>1.67</v>
      </c>
      <c r="E498" t="s">
        <v>6</v>
      </c>
    </row>
    <row r="499" spans="1:5" ht="15" hidden="1" x14ac:dyDescent="0.25">
      <c r="A499" s="3">
        <v>2583</v>
      </c>
      <c r="B499" s="4" t="s">
        <v>439</v>
      </c>
      <c r="C499">
        <v>0</v>
      </c>
      <c r="E499" t="s">
        <v>6</v>
      </c>
    </row>
    <row r="500" spans="1:5" ht="15" hidden="1" x14ac:dyDescent="0.25">
      <c r="A500" s="3">
        <v>2526</v>
      </c>
      <c r="B500" s="4" t="s">
        <v>440</v>
      </c>
      <c r="C500">
        <v>1.67</v>
      </c>
      <c r="E500" t="s">
        <v>6</v>
      </c>
    </row>
    <row r="501" spans="1:5" ht="15" hidden="1" x14ac:dyDescent="0.25">
      <c r="A501" s="3">
        <v>2381</v>
      </c>
      <c r="B501" s="4" t="s">
        <v>441</v>
      </c>
      <c r="C501">
        <v>0</v>
      </c>
      <c r="E501" t="s">
        <v>6</v>
      </c>
    </row>
    <row r="502" spans="1:5" ht="15" hidden="1" x14ac:dyDescent="0.25">
      <c r="A502" s="3">
        <v>2556</v>
      </c>
      <c r="B502" s="4" t="s">
        <v>442</v>
      </c>
      <c r="C502">
        <v>0</v>
      </c>
      <c r="E502" t="s">
        <v>6</v>
      </c>
    </row>
    <row r="503" spans="1:5" ht="15" hidden="1" x14ac:dyDescent="0.25">
      <c r="A503" s="3">
        <v>2528</v>
      </c>
      <c r="B503" s="4" t="s">
        <v>443</v>
      </c>
      <c r="C503">
        <v>1.67</v>
      </c>
      <c r="E503" t="s">
        <v>6</v>
      </c>
    </row>
    <row r="504" spans="1:5" ht="15" hidden="1" x14ac:dyDescent="0.25">
      <c r="A504" s="3">
        <v>2385</v>
      </c>
      <c r="B504" s="4" t="s">
        <v>444</v>
      </c>
      <c r="C504">
        <v>1.67</v>
      </c>
      <c r="E504" t="s">
        <v>6</v>
      </c>
    </row>
    <row r="505" spans="1:5" ht="15" hidden="1" x14ac:dyDescent="0.25">
      <c r="A505" s="3">
        <v>702528</v>
      </c>
      <c r="B505" s="4" t="s">
        <v>445</v>
      </c>
      <c r="C505">
        <v>1.67</v>
      </c>
      <c r="E505" t="s">
        <v>6</v>
      </c>
    </row>
    <row r="506" spans="1:5" ht="15" hidden="1" x14ac:dyDescent="0.25">
      <c r="A506" s="3">
        <v>702193</v>
      </c>
      <c r="B506" s="4" t="s">
        <v>446</v>
      </c>
      <c r="C506">
        <v>1.62</v>
      </c>
      <c r="E506" t="s">
        <v>6</v>
      </c>
    </row>
    <row r="507" spans="1:5" ht="15" hidden="1" x14ac:dyDescent="0.25">
      <c r="A507" s="3">
        <v>2741</v>
      </c>
      <c r="B507" s="4" t="s">
        <v>447</v>
      </c>
      <c r="C507">
        <v>1.62</v>
      </c>
      <c r="E507" t="s">
        <v>6</v>
      </c>
    </row>
    <row r="508" spans="1:5" ht="15" hidden="1" x14ac:dyDescent="0.25">
      <c r="A508" s="3">
        <v>2193</v>
      </c>
      <c r="B508" s="4" t="s">
        <v>448</v>
      </c>
      <c r="C508">
        <v>1.62</v>
      </c>
      <c r="E508" t="s">
        <v>6</v>
      </c>
    </row>
    <row r="509" spans="1:5" ht="15" hidden="1" x14ac:dyDescent="0.25">
      <c r="A509" s="3">
        <v>2200</v>
      </c>
      <c r="B509" s="4" t="s">
        <v>449</v>
      </c>
      <c r="C509">
        <v>1.62</v>
      </c>
      <c r="E509" t="s">
        <v>15</v>
      </c>
    </row>
    <row r="510" spans="1:5" ht="15" hidden="1" x14ac:dyDescent="0.25">
      <c r="A510" s="3">
        <v>2501</v>
      </c>
      <c r="B510" s="4" t="s">
        <v>450</v>
      </c>
      <c r="C510">
        <v>1.62</v>
      </c>
      <c r="E510" t="s">
        <v>6</v>
      </c>
    </row>
    <row r="511" spans="1:5" ht="15" hidden="1" x14ac:dyDescent="0.25">
      <c r="A511" s="3">
        <v>2172</v>
      </c>
      <c r="B511" s="4" t="s">
        <v>451</v>
      </c>
      <c r="C511">
        <v>1.62</v>
      </c>
      <c r="E511" t="s">
        <v>6</v>
      </c>
    </row>
    <row r="512" spans="1:5" ht="15" hidden="1" x14ac:dyDescent="0.25">
      <c r="A512" s="3">
        <v>2258</v>
      </c>
      <c r="B512" s="4" t="s">
        <v>452</v>
      </c>
      <c r="C512">
        <v>1.62</v>
      </c>
      <c r="E512" t="s">
        <v>6</v>
      </c>
    </row>
    <row r="513" spans="1:5" ht="15" hidden="1" x14ac:dyDescent="0.25">
      <c r="A513" s="3">
        <v>2337</v>
      </c>
      <c r="B513" s="4" t="s">
        <v>453</v>
      </c>
      <c r="C513">
        <v>1.62</v>
      </c>
      <c r="E513" t="s">
        <v>6</v>
      </c>
    </row>
    <row r="514" spans="1:5" ht="15" hidden="1" x14ac:dyDescent="0.25">
      <c r="A514" s="3">
        <v>702865</v>
      </c>
      <c r="B514" s="4" t="s">
        <v>454</v>
      </c>
      <c r="C514">
        <v>4.24</v>
      </c>
      <c r="E514" t="s">
        <v>6</v>
      </c>
    </row>
    <row r="515" spans="1:5" ht="15" hidden="1" x14ac:dyDescent="0.25">
      <c r="A515" s="3">
        <v>2865</v>
      </c>
      <c r="B515" s="4" t="s">
        <v>455</v>
      </c>
      <c r="C515">
        <v>4.24</v>
      </c>
      <c r="E515" t="s">
        <v>6</v>
      </c>
    </row>
    <row r="516" spans="1:5" ht="15" hidden="1" x14ac:dyDescent="0.25">
      <c r="A516" s="3">
        <v>2447</v>
      </c>
      <c r="B516" s="4" t="s">
        <v>456</v>
      </c>
      <c r="C516">
        <v>4.24</v>
      </c>
      <c r="E516" t="s">
        <v>6</v>
      </c>
    </row>
    <row r="517" spans="1:5" ht="15" hidden="1" x14ac:dyDescent="0.25">
      <c r="A517" s="3">
        <v>2483</v>
      </c>
      <c r="B517" s="4" t="s">
        <v>456</v>
      </c>
      <c r="C517">
        <v>4.24</v>
      </c>
      <c r="E517" t="s">
        <v>6</v>
      </c>
    </row>
    <row r="518" spans="1:5" ht="15" hidden="1" x14ac:dyDescent="0.25">
      <c r="A518" s="3">
        <v>2455</v>
      </c>
      <c r="B518" s="4" t="s">
        <v>457</v>
      </c>
      <c r="C518">
        <v>4.24</v>
      </c>
      <c r="E518" t="s">
        <v>6</v>
      </c>
    </row>
    <row r="519" spans="1:5" ht="15" hidden="1" x14ac:dyDescent="0.25">
      <c r="A519" s="3">
        <v>327</v>
      </c>
      <c r="B519" s="4" t="s">
        <v>458</v>
      </c>
      <c r="C519">
        <v>4.55</v>
      </c>
      <c r="E519" t="s">
        <v>6</v>
      </c>
    </row>
    <row r="520" spans="1:5" ht="15" hidden="1" x14ac:dyDescent="0.25">
      <c r="A520" s="3">
        <v>337</v>
      </c>
      <c r="B520" s="4" t="s">
        <v>459</v>
      </c>
      <c r="C520">
        <v>4.55</v>
      </c>
      <c r="E520" t="s">
        <v>6</v>
      </c>
    </row>
    <row r="521" spans="1:5" ht="15" hidden="1" x14ac:dyDescent="0.25">
      <c r="A521" s="3">
        <v>2990</v>
      </c>
      <c r="B521" s="4" t="s">
        <v>460</v>
      </c>
      <c r="C521">
        <v>0.69</v>
      </c>
      <c r="E521" t="s">
        <v>6</v>
      </c>
    </row>
    <row r="522" spans="1:5" ht="15" hidden="1" x14ac:dyDescent="0.25">
      <c r="A522" s="3">
        <v>300</v>
      </c>
      <c r="B522" s="4" t="s">
        <v>461</v>
      </c>
      <c r="C522">
        <v>0</v>
      </c>
      <c r="E522" t="s">
        <v>15</v>
      </c>
    </row>
    <row r="523" spans="1:5" ht="15" hidden="1" x14ac:dyDescent="0.25">
      <c r="A523" s="3">
        <v>301</v>
      </c>
      <c r="B523" s="4" t="s">
        <v>462</v>
      </c>
      <c r="C523">
        <v>0</v>
      </c>
      <c r="E523" t="s">
        <v>15</v>
      </c>
    </row>
    <row r="524" spans="1:5" ht="15" hidden="1" x14ac:dyDescent="0.25">
      <c r="A524" s="3">
        <v>298</v>
      </c>
      <c r="B524" s="4" t="s">
        <v>463</v>
      </c>
      <c r="C524">
        <v>0</v>
      </c>
      <c r="E524" t="s">
        <v>15</v>
      </c>
    </row>
    <row r="525" spans="1:5" ht="15" hidden="1" x14ac:dyDescent="0.25">
      <c r="A525" s="3">
        <v>344</v>
      </c>
      <c r="B525" s="4" t="s">
        <v>464</v>
      </c>
      <c r="C525">
        <v>0</v>
      </c>
      <c r="E525" t="s">
        <v>15</v>
      </c>
    </row>
    <row r="526" spans="1:5" ht="15" hidden="1" x14ac:dyDescent="0.25">
      <c r="A526" s="3">
        <v>345</v>
      </c>
      <c r="B526" s="4" t="s">
        <v>465</v>
      </c>
      <c r="C526">
        <v>0</v>
      </c>
      <c r="E526" t="s">
        <v>15</v>
      </c>
    </row>
    <row r="527" spans="1:5" ht="15" hidden="1" x14ac:dyDescent="0.25">
      <c r="A527" s="3">
        <v>346</v>
      </c>
      <c r="B527" s="4" t="s">
        <v>466</v>
      </c>
      <c r="C527">
        <v>0</v>
      </c>
      <c r="E527" t="s">
        <v>15</v>
      </c>
    </row>
    <row r="528" spans="1:5" ht="15" hidden="1" x14ac:dyDescent="0.25">
      <c r="A528" s="3">
        <v>347</v>
      </c>
      <c r="B528" s="4" t="s">
        <v>467</v>
      </c>
      <c r="C528">
        <v>0</v>
      </c>
      <c r="E528" t="s">
        <v>15</v>
      </c>
    </row>
    <row r="529" spans="1:5" ht="15" hidden="1" x14ac:dyDescent="0.25">
      <c r="A529" s="3">
        <v>268</v>
      </c>
      <c r="B529" s="4" t="s">
        <v>468</v>
      </c>
      <c r="C529">
        <v>0</v>
      </c>
      <c r="E529" t="s">
        <v>15</v>
      </c>
    </row>
    <row r="530" spans="1:5" ht="15" hidden="1" x14ac:dyDescent="0.25">
      <c r="A530" s="3">
        <v>295</v>
      </c>
      <c r="B530" s="4" t="s">
        <v>469</v>
      </c>
      <c r="C530">
        <v>0</v>
      </c>
      <c r="E530" t="s">
        <v>15</v>
      </c>
    </row>
    <row r="531" spans="1:5" ht="15" hidden="1" x14ac:dyDescent="0.25">
      <c r="A531" s="3">
        <v>296</v>
      </c>
      <c r="B531" s="4" t="s">
        <v>470</v>
      </c>
      <c r="C531">
        <v>0</v>
      </c>
      <c r="E531" t="s">
        <v>15</v>
      </c>
    </row>
    <row r="532" spans="1:5" ht="15" hidden="1" x14ac:dyDescent="0.25">
      <c r="A532" s="3">
        <v>297</v>
      </c>
      <c r="B532" s="4" t="s">
        <v>471</v>
      </c>
      <c r="C532">
        <v>0</v>
      </c>
      <c r="E532" t="s">
        <v>15</v>
      </c>
    </row>
    <row r="533" spans="1:5" ht="15" hidden="1" x14ac:dyDescent="0.25">
      <c r="A533" s="3">
        <v>299</v>
      </c>
      <c r="B533" s="4" t="s">
        <v>472</v>
      </c>
      <c r="C533">
        <v>0</v>
      </c>
      <c r="E533" t="s">
        <v>15</v>
      </c>
    </row>
    <row r="534" spans="1:5" ht="15" hidden="1" x14ac:dyDescent="0.25">
      <c r="A534" s="3">
        <v>306</v>
      </c>
      <c r="B534" s="4" t="s">
        <v>473</v>
      </c>
      <c r="C534">
        <v>0</v>
      </c>
      <c r="E534" t="s">
        <v>15</v>
      </c>
    </row>
    <row r="535" spans="1:5" ht="15" hidden="1" x14ac:dyDescent="0.25">
      <c r="A535" s="3">
        <v>308</v>
      </c>
      <c r="B535" s="4" t="s">
        <v>474</v>
      </c>
      <c r="C535">
        <v>0</v>
      </c>
      <c r="E535" t="s">
        <v>15</v>
      </c>
    </row>
    <row r="536" spans="1:5" ht="15" hidden="1" x14ac:dyDescent="0.25">
      <c r="A536" s="3">
        <v>309</v>
      </c>
      <c r="B536" s="4" t="s">
        <v>475</v>
      </c>
      <c r="C536">
        <v>0</v>
      </c>
      <c r="E536" t="s">
        <v>15</v>
      </c>
    </row>
    <row r="537" spans="1:5" ht="15" hidden="1" x14ac:dyDescent="0.25">
      <c r="A537" s="3">
        <v>348</v>
      </c>
      <c r="B537" s="4" t="s">
        <v>476</v>
      </c>
      <c r="C537">
        <v>0</v>
      </c>
      <c r="E537" t="s">
        <v>15</v>
      </c>
    </row>
    <row r="538" spans="1:5" ht="15" hidden="1" x14ac:dyDescent="0.25">
      <c r="A538" s="3">
        <v>349</v>
      </c>
      <c r="B538" s="4" t="s">
        <v>477</v>
      </c>
      <c r="C538">
        <v>0</v>
      </c>
      <c r="E538" t="s">
        <v>15</v>
      </c>
    </row>
    <row r="539" spans="1:5" ht="15" hidden="1" x14ac:dyDescent="0.25">
      <c r="A539" s="3">
        <v>350</v>
      </c>
      <c r="B539" s="4" t="s">
        <v>478</v>
      </c>
      <c r="C539">
        <v>0</v>
      </c>
      <c r="E539" t="s">
        <v>15</v>
      </c>
    </row>
    <row r="540" spans="1:5" ht="15" hidden="1" x14ac:dyDescent="0.25">
      <c r="A540" s="3">
        <v>351</v>
      </c>
      <c r="B540" s="4" t="s">
        <v>479</v>
      </c>
      <c r="C540">
        <v>0</v>
      </c>
      <c r="E540" t="s">
        <v>15</v>
      </c>
    </row>
    <row r="541" spans="1:5" ht="15" hidden="1" x14ac:dyDescent="0.25">
      <c r="A541" s="3">
        <v>302</v>
      </c>
      <c r="B541" s="4" t="s">
        <v>480</v>
      </c>
      <c r="C541">
        <v>0</v>
      </c>
      <c r="E541" t="s">
        <v>15</v>
      </c>
    </row>
    <row r="542" spans="1:5" ht="15" hidden="1" x14ac:dyDescent="0.25">
      <c r="A542" s="3">
        <v>303</v>
      </c>
      <c r="B542" s="4" t="s">
        <v>481</v>
      </c>
      <c r="C542">
        <v>0</v>
      </c>
      <c r="E542" t="s">
        <v>15</v>
      </c>
    </row>
    <row r="543" spans="1:5" ht="15" hidden="1" x14ac:dyDescent="0.25">
      <c r="A543" s="3">
        <v>304</v>
      </c>
      <c r="B543" s="4" t="s">
        <v>482</v>
      </c>
      <c r="C543">
        <v>0</v>
      </c>
      <c r="E543" t="s">
        <v>15</v>
      </c>
    </row>
    <row r="544" spans="1:5" ht="15" hidden="1" x14ac:dyDescent="0.25">
      <c r="A544" s="3">
        <v>305</v>
      </c>
      <c r="B544" s="4" t="s">
        <v>483</v>
      </c>
      <c r="C544">
        <v>0</v>
      </c>
      <c r="E544" t="s">
        <v>15</v>
      </c>
    </row>
    <row r="545" spans="1:5" ht="15" hidden="1" x14ac:dyDescent="0.25">
      <c r="A545" s="3">
        <v>307</v>
      </c>
      <c r="B545" s="4" t="s">
        <v>484</v>
      </c>
      <c r="C545">
        <v>0</v>
      </c>
      <c r="E545" t="s">
        <v>15</v>
      </c>
    </row>
    <row r="546" spans="1:5" ht="15" hidden="1" x14ac:dyDescent="0.25">
      <c r="A546" s="3">
        <v>314</v>
      </c>
      <c r="B546" s="4" t="s">
        <v>485</v>
      </c>
      <c r="C546">
        <v>0</v>
      </c>
      <c r="E546" t="s">
        <v>15</v>
      </c>
    </row>
    <row r="547" spans="1:5" ht="15" hidden="1" x14ac:dyDescent="0.25">
      <c r="A547" s="3">
        <v>317</v>
      </c>
      <c r="B547" s="4" t="s">
        <v>486</v>
      </c>
      <c r="C547">
        <v>0</v>
      </c>
      <c r="E547" t="s">
        <v>15</v>
      </c>
    </row>
    <row r="548" spans="1:5" ht="15" hidden="1" x14ac:dyDescent="0.25">
      <c r="A548" s="3">
        <v>352</v>
      </c>
      <c r="B548" s="4" t="s">
        <v>487</v>
      </c>
      <c r="C548">
        <v>0</v>
      </c>
      <c r="E548" t="s">
        <v>15</v>
      </c>
    </row>
    <row r="549" spans="1:5" ht="15" hidden="1" x14ac:dyDescent="0.25">
      <c r="A549" s="3">
        <v>353</v>
      </c>
      <c r="B549" s="4" t="s">
        <v>488</v>
      </c>
      <c r="C549">
        <v>0</v>
      </c>
      <c r="E549" t="s">
        <v>15</v>
      </c>
    </row>
    <row r="550" spans="1:5" ht="15" hidden="1" x14ac:dyDescent="0.25">
      <c r="A550" s="3">
        <v>354</v>
      </c>
      <c r="B550" s="4" t="s">
        <v>489</v>
      </c>
      <c r="C550">
        <v>0</v>
      </c>
      <c r="E550" t="s">
        <v>15</v>
      </c>
    </row>
    <row r="551" spans="1:5" ht="15" hidden="1" x14ac:dyDescent="0.25">
      <c r="A551" s="3">
        <v>355</v>
      </c>
      <c r="B551" s="4" t="s">
        <v>490</v>
      </c>
      <c r="C551">
        <v>0</v>
      </c>
      <c r="E551" t="s">
        <v>15</v>
      </c>
    </row>
    <row r="552" spans="1:5" ht="15" hidden="1" x14ac:dyDescent="0.25">
      <c r="A552" s="3">
        <v>310</v>
      </c>
      <c r="B552" s="4" t="s">
        <v>491</v>
      </c>
      <c r="C552">
        <v>0</v>
      </c>
      <c r="E552" t="s">
        <v>15</v>
      </c>
    </row>
    <row r="553" spans="1:5" ht="15" hidden="1" x14ac:dyDescent="0.25">
      <c r="A553" s="3">
        <v>315</v>
      </c>
      <c r="B553" s="4" t="s">
        <v>492</v>
      </c>
      <c r="C553">
        <v>0</v>
      </c>
      <c r="E553" t="s">
        <v>15</v>
      </c>
    </row>
    <row r="554" spans="1:5" ht="15" hidden="1" x14ac:dyDescent="0.25">
      <c r="A554" s="3">
        <v>311</v>
      </c>
      <c r="B554" s="4" t="s">
        <v>493</v>
      </c>
      <c r="C554">
        <v>0</v>
      </c>
      <c r="E554" t="s">
        <v>15</v>
      </c>
    </row>
    <row r="555" spans="1:5" ht="15" hidden="1" x14ac:dyDescent="0.25">
      <c r="A555" s="3">
        <v>312</v>
      </c>
      <c r="B555" s="4" t="s">
        <v>494</v>
      </c>
      <c r="C555">
        <v>0</v>
      </c>
      <c r="E555" t="s">
        <v>15</v>
      </c>
    </row>
    <row r="556" spans="1:5" ht="15" hidden="1" x14ac:dyDescent="0.25">
      <c r="A556" s="3">
        <v>313</v>
      </c>
      <c r="B556" s="4" t="s">
        <v>495</v>
      </c>
      <c r="C556">
        <v>0</v>
      </c>
      <c r="E556" t="s">
        <v>15</v>
      </c>
    </row>
    <row r="557" spans="1:5" ht="15" hidden="1" x14ac:dyDescent="0.25">
      <c r="A557" s="3">
        <v>316</v>
      </c>
      <c r="B557" s="4" t="s">
        <v>496</v>
      </c>
      <c r="C557">
        <v>0</v>
      </c>
      <c r="E557" t="s">
        <v>15</v>
      </c>
    </row>
    <row r="558" spans="1:5" ht="15" hidden="1" x14ac:dyDescent="0.25">
      <c r="A558" s="3">
        <v>322</v>
      </c>
      <c r="B558" s="4" t="s">
        <v>497</v>
      </c>
      <c r="C558">
        <v>0</v>
      </c>
      <c r="E558" t="s">
        <v>15</v>
      </c>
    </row>
    <row r="559" spans="1:5" ht="15" hidden="1" x14ac:dyDescent="0.25">
      <c r="A559" s="3">
        <v>324</v>
      </c>
      <c r="B559" s="4" t="s">
        <v>498</v>
      </c>
      <c r="C559">
        <v>0</v>
      </c>
      <c r="E559" t="s">
        <v>15</v>
      </c>
    </row>
    <row r="560" spans="1:5" ht="15" hidden="1" x14ac:dyDescent="0.25">
      <c r="A560" s="3">
        <v>325</v>
      </c>
      <c r="B560" s="4" t="s">
        <v>499</v>
      </c>
      <c r="C560">
        <v>0</v>
      </c>
      <c r="E560" t="s">
        <v>15</v>
      </c>
    </row>
    <row r="561" spans="1:5" ht="15" hidden="1" x14ac:dyDescent="0.25">
      <c r="A561" s="3">
        <v>356</v>
      </c>
      <c r="B561" s="4" t="s">
        <v>500</v>
      </c>
      <c r="C561">
        <v>0</v>
      </c>
      <c r="E561" t="s">
        <v>15</v>
      </c>
    </row>
    <row r="562" spans="1:5" ht="15" hidden="1" x14ac:dyDescent="0.25">
      <c r="A562" s="3">
        <v>357</v>
      </c>
      <c r="B562" s="4" t="s">
        <v>501</v>
      </c>
      <c r="C562">
        <v>0</v>
      </c>
      <c r="E562" t="s">
        <v>15</v>
      </c>
    </row>
    <row r="563" spans="1:5" ht="15" hidden="1" x14ac:dyDescent="0.25">
      <c r="A563" s="3">
        <v>358</v>
      </c>
      <c r="B563" s="4" t="s">
        <v>502</v>
      </c>
      <c r="C563">
        <v>0</v>
      </c>
      <c r="E563" t="s">
        <v>15</v>
      </c>
    </row>
    <row r="564" spans="1:5" ht="15" hidden="1" x14ac:dyDescent="0.25">
      <c r="A564" s="3">
        <v>359</v>
      </c>
      <c r="B564" s="4" t="s">
        <v>503</v>
      </c>
      <c r="C564">
        <v>0</v>
      </c>
      <c r="E564" t="s">
        <v>15</v>
      </c>
    </row>
    <row r="565" spans="1:5" ht="15" hidden="1" x14ac:dyDescent="0.25">
      <c r="A565" s="3">
        <v>318</v>
      </c>
      <c r="B565" s="4" t="s">
        <v>504</v>
      </c>
      <c r="C565">
        <v>0</v>
      </c>
      <c r="E565" t="s">
        <v>15</v>
      </c>
    </row>
    <row r="566" spans="1:5" ht="15" hidden="1" x14ac:dyDescent="0.25">
      <c r="A566" s="3">
        <v>319</v>
      </c>
      <c r="B566" s="4" t="s">
        <v>505</v>
      </c>
      <c r="C566">
        <v>0</v>
      </c>
      <c r="E566" t="s">
        <v>15</v>
      </c>
    </row>
    <row r="567" spans="1:5" ht="15" hidden="1" x14ac:dyDescent="0.25">
      <c r="A567" s="3">
        <v>320</v>
      </c>
      <c r="B567" s="4" t="s">
        <v>506</v>
      </c>
      <c r="C567">
        <v>0</v>
      </c>
      <c r="E567" t="s">
        <v>15</v>
      </c>
    </row>
    <row r="568" spans="1:5" ht="15" hidden="1" x14ac:dyDescent="0.25">
      <c r="A568" s="3">
        <v>321</v>
      </c>
      <c r="B568" s="4" t="s">
        <v>507</v>
      </c>
      <c r="C568">
        <v>0</v>
      </c>
      <c r="E568" t="s">
        <v>15</v>
      </c>
    </row>
    <row r="569" spans="1:5" ht="15" hidden="1" x14ac:dyDescent="0.25">
      <c r="A569" s="3">
        <v>323</v>
      </c>
      <c r="B569" s="4" t="s">
        <v>508</v>
      </c>
      <c r="C569">
        <v>0</v>
      </c>
      <c r="E569" t="s">
        <v>15</v>
      </c>
    </row>
    <row r="570" spans="1:5" ht="15" hidden="1" x14ac:dyDescent="0.25">
      <c r="A570" s="3">
        <v>360</v>
      </c>
      <c r="B570" s="4" t="s">
        <v>509</v>
      </c>
      <c r="C570">
        <v>0</v>
      </c>
      <c r="E570" t="s">
        <v>15</v>
      </c>
    </row>
    <row r="571" spans="1:5" ht="15" hidden="1" x14ac:dyDescent="0.25">
      <c r="A571" s="3">
        <v>361</v>
      </c>
      <c r="B571" s="4" t="s">
        <v>510</v>
      </c>
      <c r="C571">
        <v>0</v>
      </c>
      <c r="E571" t="s">
        <v>15</v>
      </c>
    </row>
    <row r="572" spans="1:5" ht="15" hidden="1" x14ac:dyDescent="0.25">
      <c r="A572" s="3">
        <v>362</v>
      </c>
      <c r="B572" s="4" t="s">
        <v>511</v>
      </c>
      <c r="C572">
        <v>0</v>
      </c>
      <c r="E572" t="s">
        <v>15</v>
      </c>
    </row>
    <row r="573" spans="1:5" ht="15" hidden="1" x14ac:dyDescent="0.25">
      <c r="A573" s="3">
        <v>363</v>
      </c>
      <c r="B573" s="4" t="s">
        <v>512</v>
      </c>
      <c r="C573">
        <v>0</v>
      </c>
      <c r="E573" t="s">
        <v>15</v>
      </c>
    </row>
    <row r="574" spans="1:5" ht="15" hidden="1" x14ac:dyDescent="0.25">
      <c r="A574" s="3">
        <v>340</v>
      </c>
      <c r="B574" s="4" t="s">
        <v>513</v>
      </c>
      <c r="C574">
        <v>0</v>
      </c>
      <c r="E574" t="s">
        <v>15</v>
      </c>
    </row>
    <row r="575" spans="1:5" ht="15" hidden="1" x14ac:dyDescent="0.25">
      <c r="A575" s="3">
        <v>342</v>
      </c>
      <c r="B575" s="4" t="s">
        <v>514</v>
      </c>
      <c r="C575">
        <v>0</v>
      </c>
      <c r="E575" t="s">
        <v>15</v>
      </c>
    </row>
    <row r="576" spans="1:5" ht="15" hidden="1" x14ac:dyDescent="0.25">
      <c r="A576" s="3">
        <v>343</v>
      </c>
      <c r="B576" s="4" t="s">
        <v>515</v>
      </c>
      <c r="C576">
        <v>0</v>
      </c>
      <c r="E576" t="s">
        <v>15</v>
      </c>
    </row>
    <row r="577" spans="1:5" ht="15" hidden="1" x14ac:dyDescent="0.25">
      <c r="A577" s="3">
        <v>326</v>
      </c>
      <c r="B577" s="4" t="s">
        <v>516</v>
      </c>
      <c r="C577">
        <v>0</v>
      </c>
      <c r="E577" t="s">
        <v>15</v>
      </c>
    </row>
    <row r="578" spans="1:5" ht="15" hidden="1" x14ac:dyDescent="0.25">
      <c r="A578" s="3">
        <v>328</v>
      </c>
      <c r="B578" s="4" t="s">
        <v>517</v>
      </c>
      <c r="C578">
        <v>0</v>
      </c>
      <c r="E578" t="s">
        <v>15</v>
      </c>
    </row>
    <row r="579" spans="1:5" ht="15" hidden="1" x14ac:dyDescent="0.25">
      <c r="A579" s="3">
        <v>329</v>
      </c>
      <c r="B579" s="4" t="s">
        <v>518</v>
      </c>
      <c r="C579">
        <v>0</v>
      </c>
      <c r="E579" t="s">
        <v>15</v>
      </c>
    </row>
    <row r="580" spans="1:5" ht="15" hidden="1" x14ac:dyDescent="0.25">
      <c r="A580" s="3">
        <v>330</v>
      </c>
      <c r="B580" s="4" t="s">
        <v>519</v>
      </c>
      <c r="C580">
        <v>0</v>
      </c>
      <c r="E580" t="s">
        <v>15</v>
      </c>
    </row>
    <row r="581" spans="1:5" ht="15" hidden="1" x14ac:dyDescent="0.25">
      <c r="A581" s="3">
        <v>364</v>
      </c>
      <c r="B581" s="4" t="s">
        <v>520</v>
      </c>
      <c r="C581">
        <v>0</v>
      </c>
      <c r="E581" t="s">
        <v>15</v>
      </c>
    </row>
    <row r="582" spans="1:5" ht="15" hidden="1" x14ac:dyDescent="0.25">
      <c r="A582" s="3">
        <v>366</v>
      </c>
      <c r="B582" s="4" t="s">
        <v>521</v>
      </c>
      <c r="C582">
        <v>0</v>
      </c>
      <c r="E582" t="s">
        <v>15</v>
      </c>
    </row>
    <row r="583" spans="1:5" ht="15" hidden="1" x14ac:dyDescent="0.25">
      <c r="A583" s="3">
        <v>367</v>
      </c>
      <c r="B583" s="4" t="s">
        <v>522</v>
      </c>
      <c r="C583">
        <v>0</v>
      </c>
      <c r="E583" t="s">
        <v>15</v>
      </c>
    </row>
    <row r="584" spans="1:5" ht="15" hidden="1" x14ac:dyDescent="0.25">
      <c r="A584" s="3">
        <v>332</v>
      </c>
      <c r="B584" s="4" t="s">
        <v>523</v>
      </c>
      <c r="C584">
        <v>0</v>
      </c>
      <c r="E584" t="s">
        <v>15</v>
      </c>
    </row>
    <row r="585" spans="1:5" ht="15" hidden="1" x14ac:dyDescent="0.25">
      <c r="A585" s="3">
        <v>333</v>
      </c>
      <c r="B585" s="4" t="s">
        <v>524</v>
      </c>
      <c r="C585">
        <v>0</v>
      </c>
      <c r="E585" t="s">
        <v>15</v>
      </c>
    </row>
    <row r="586" spans="1:5" ht="15" hidden="1" x14ac:dyDescent="0.25">
      <c r="A586" s="3">
        <v>331</v>
      </c>
      <c r="B586" s="4" t="s">
        <v>525</v>
      </c>
      <c r="C586">
        <v>0</v>
      </c>
      <c r="E586" t="s">
        <v>15</v>
      </c>
    </row>
    <row r="587" spans="1:5" ht="15" hidden="1" x14ac:dyDescent="0.25">
      <c r="A587" s="3">
        <v>336</v>
      </c>
      <c r="B587" s="4" t="s">
        <v>526</v>
      </c>
      <c r="C587">
        <v>0</v>
      </c>
      <c r="E587" t="s">
        <v>15</v>
      </c>
    </row>
    <row r="588" spans="1:5" ht="15" hidden="1" x14ac:dyDescent="0.25">
      <c r="A588" s="3">
        <v>338</v>
      </c>
      <c r="B588" s="4" t="s">
        <v>527</v>
      </c>
      <c r="C588">
        <v>0</v>
      </c>
      <c r="E588" t="s">
        <v>15</v>
      </c>
    </row>
    <row r="589" spans="1:5" ht="15" hidden="1" x14ac:dyDescent="0.25">
      <c r="A589" s="3">
        <v>339</v>
      </c>
      <c r="B589" s="4" t="s">
        <v>528</v>
      </c>
      <c r="C589">
        <v>0</v>
      </c>
      <c r="E589" t="s">
        <v>15</v>
      </c>
    </row>
    <row r="590" spans="1:5" ht="15" hidden="1" x14ac:dyDescent="0.25">
      <c r="A590" s="3">
        <v>365</v>
      </c>
      <c r="B590" s="4" t="s">
        <v>529</v>
      </c>
      <c r="C590">
        <v>0</v>
      </c>
      <c r="E590" t="s">
        <v>15</v>
      </c>
    </row>
    <row r="591" spans="1:5" ht="15" hidden="1" x14ac:dyDescent="0.25">
      <c r="A591" s="3">
        <v>341</v>
      </c>
      <c r="B591" s="4" t="s">
        <v>530</v>
      </c>
      <c r="C591">
        <v>4.55</v>
      </c>
      <c r="E591" t="s">
        <v>6</v>
      </c>
    </row>
    <row r="592" spans="1:5" ht="15" hidden="1" x14ac:dyDescent="0.25">
      <c r="A592" s="3">
        <v>368</v>
      </c>
      <c r="B592" s="4" t="s">
        <v>531</v>
      </c>
      <c r="C592">
        <v>0.69</v>
      </c>
      <c r="E592" t="s">
        <v>6</v>
      </c>
    </row>
    <row r="593" spans="1:5" ht="15" hidden="1" x14ac:dyDescent="0.25">
      <c r="A593" s="3">
        <v>369</v>
      </c>
      <c r="B593" s="4" t="s">
        <v>532</v>
      </c>
      <c r="C593">
        <v>0.69</v>
      </c>
      <c r="E593" t="s">
        <v>15</v>
      </c>
    </row>
    <row r="594" spans="1:5" ht="15" hidden="1" x14ac:dyDescent="0.25">
      <c r="A594" s="3">
        <v>371</v>
      </c>
      <c r="B594" s="4" t="s">
        <v>533</v>
      </c>
      <c r="C594">
        <v>0.69</v>
      </c>
      <c r="E594" t="s">
        <v>15</v>
      </c>
    </row>
    <row r="595" spans="1:5" ht="15" hidden="1" x14ac:dyDescent="0.25">
      <c r="A595" s="3">
        <v>370</v>
      </c>
      <c r="B595" s="4" t="s">
        <v>534</v>
      </c>
      <c r="C595">
        <v>0.69</v>
      </c>
      <c r="E595" t="s">
        <v>6</v>
      </c>
    </row>
    <row r="596" spans="1:5" ht="15" hidden="1" x14ac:dyDescent="0.25">
      <c r="A596" s="3">
        <v>785</v>
      </c>
      <c r="B596" s="4" t="s">
        <v>535</v>
      </c>
      <c r="C596">
        <v>0.69</v>
      </c>
      <c r="E596" t="s">
        <v>6</v>
      </c>
    </row>
    <row r="597" spans="1:5" ht="15" hidden="1" x14ac:dyDescent="0.25">
      <c r="A597" s="3">
        <v>1468</v>
      </c>
      <c r="B597" s="4" t="s">
        <v>536</v>
      </c>
      <c r="C597">
        <v>0.69</v>
      </c>
      <c r="E597" t="s">
        <v>6</v>
      </c>
    </row>
    <row r="598" spans="1:5" ht="15" hidden="1" x14ac:dyDescent="0.25">
      <c r="A598" s="3">
        <v>372</v>
      </c>
      <c r="B598" s="4" t="s">
        <v>537</v>
      </c>
      <c r="C598">
        <v>0.64</v>
      </c>
      <c r="E598" t="s">
        <v>6</v>
      </c>
    </row>
    <row r="599" spans="1:5" ht="15" hidden="1" x14ac:dyDescent="0.25">
      <c r="A599" s="3">
        <v>373</v>
      </c>
      <c r="B599" s="4" t="s">
        <v>538</v>
      </c>
      <c r="C599">
        <v>0.64</v>
      </c>
      <c r="E599" t="s">
        <v>15</v>
      </c>
    </row>
    <row r="600" spans="1:5" ht="15" hidden="1" x14ac:dyDescent="0.25">
      <c r="A600" s="3">
        <v>375</v>
      </c>
      <c r="B600" s="4" t="s">
        <v>539</v>
      </c>
      <c r="C600">
        <v>0.64</v>
      </c>
      <c r="E600" t="s">
        <v>15</v>
      </c>
    </row>
    <row r="601" spans="1:5" ht="15" hidden="1" x14ac:dyDescent="0.25">
      <c r="A601" s="3">
        <v>374</v>
      </c>
      <c r="B601" s="4" t="s">
        <v>540</v>
      </c>
      <c r="C601">
        <v>0.64</v>
      </c>
      <c r="E601" t="s">
        <v>6</v>
      </c>
    </row>
    <row r="602" spans="1:5" ht="15" hidden="1" x14ac:dyDescent="0.25">
      <c r="A602" s="3">
        <v>376</v>
      </c>
      <c r="B602" s="4" t="s">
        <v>541</v>
      </c>
      <c r="C602">
        <v>1.67</v>
      </c>
      <c r="E602" t="s">
        <v>6</v>
      </c>
    </row>
    <row r="603" spans="1:5" ht="15" hidden="1" x14ac:dyDescent="0.25">
      <c r="A603" s="3">
        <v>377</v>
      </c>
      <c r="B603" s="4" t="s">
        <v>542</v>
      </c>
      <c r="C603">
        <v>1.67</v>
      </c>
      <c r="E603" t="s">
        <v>15</v>
      </c>
    </row>
    <row r="604" spans="1:5" ht="15" hidden="1" x14ac:dyDescent="0.25">
      <c r="A604" s="3">
        <v>379</v>
      </c>
      <c r="B604" s="4" t="s">
        <v>543</v>
      </c>
      <c r="C604">
        <v>1.67</v>
      </c>
      <c r="E604" t="s">
        <v>15</v>
      </c>
    </row>
    <row r="605" spans="1:5" ht="15" hidden="1" x14ac:dyDescent="0.25">
      <c r="A605" s="3">
        <v>378</v>
      </c>
      <c r="B605" s="4" t="s">
        <v>544</v>
      </c>
      <c r="C605">
        <v>1.67</v>
      </c>
      <c r="E605" t="s">
        <v>6</v>
      </c>
    </row>
    <row r="606" spans="1:5" ht="15" hidden="1" x14ac:dyDescent="0.25">
      <c r="A606" s="3">
        <v>786</v>
      </c>
      <c r="B606" s="4" t="s">
        <v>545</v>
      </c>
      <c r="C606">
        <v>1.67</v>
      </c>
      <c r="E606" t="s">
        <v>6</v>
      </c>
    </row>
    <row r="607" spans="1:5" ht="15" hidden="1" x14ac:dyDescent="0.25">
      <c r="A607" s="3">
        <v>1481</v>
      </c>
      <c r="B607" s="4" t="s">
        <v>546</v>
      </c>
      <c r="C607">
        <v>1.67</v>
      </c>
      <c r="E607" t="s">
        <v>6</v>
      </c>
    </row>
    <row r="608" spans="1:5" ht="15" hidden="1" x14ac:dyDescent="0.25">
      <c r="A608" s="3">
        <v>380</v>
      </c>
      <c r="B608" s="4" t="s">
        <v>547</v>
      </c>
      <c r="C608">
        <v>1.62</v>
      </c>
      <c r="E608" t="s">
        <v>6</v>
      </c>
    </row>
    <row r="609" spans="1:5" ht="15" hidden="1" x14ac:dyDescent="0.25">
      <c r="A609" s="3">
        <v>381</v>
      </c>
      <c r="B609" s="4" t="s">
        <v>548</v>
      </c>
      <c r="C609">
        <v>1.62</v>
      </c>
      <c r="E609" t="s">
        <v>15</v>
      </c>
    </row>
    <row r="610" spans="1:5" ht="15" hidden="1" x14ac:dyDescent="0.25">
      <c r="A610" s="3">
        <v>383</v>
      </c>
      <c r="B610" s="4" t="s">
        <v>549</v>
      </c>
      <c r="C610">
        <v>1.62</v>
      </c>
      <c r="E610" t="s">
        <v>15</v>
      </c>
    </row>
    <row r="611" spans="1:5" ht="15" hidden="1" x14ac:dyDescent="0.25">
      <c r="A611" s="3">
        <v>382</v>
      </c>
      <c r="B611" s="4" t="s">
        <v>550</v>
      </c>
      <c r="C611">
        <v>1.62</v>
      </c>
      <c r="E611" t="s">
        <v>6</v>
      </c>
    </row>
    <row r="612" spans="1:5" ht="15" hidden="1" x14ac:dyDescent="0.25">
      <c r="A612" s="3">
        <v>384</v>
      </c>
      <c r="B612" s="4" t="s">
        <v>551</v>
      </c>
      <c r="C612">
        <v>4.24</v>
      </c>
      <c r="E612" t="s">
        <v>6</v>
      </c>
    </row>
    <row r="613" spans="1:5" ht="15" hidden="1" x14ac:dyDescent="0.25">
      <c r="A613" s="3">
        <v>385</v>
      </c>
      <c r="B613" s="4" t="s">
        <v>552</v>
      </c>
      <c r="C613">
        <v>4.24</v>
      </c>
      <c r="E613" t="s">
        <v>15</v>
      </c>
    </row>
    <row r="614" spans="1:5" ht="15" hidden="1" x14ac:dyDescent="0.25">
      <c r="A614" s="3">
        <v>387</v>
      </c>
      <c r="B614" s="4" t="s">
        <v>553</v>
      </c>
      <c r="C614">
        <v>4.24</v>
      </c>
      <c r="E614" t="s">
        <v>15</v>
      </c>
    </row>
    <row r="615" spans="1:5" ht="15" hidden="1" x14ac:dyDescent="0.25">
      <c r="A615" s="3">
        <v>386</v>
      </c>
      <c r="B615" s="4" t="s">
        <v>554</v>
      </c>
      <c r="C615">
        <v>4.24</v>
      </c>
      <c r="E615" t="s">
        <v>6</v>
      </c>
    </row>
    <row r="616" spans="1:5" ht="15" hidden="1" x14ac:dyDescent="0.25">
      <c r="A616" s="3">
        <v>415</v>
      </c>
      <c r="B616" s="4" t="s">
        <v>555</v>
      </c>
      <c r="C616">
        <v>0.18</v>
      </c>
      <c r="E616" t="s">
        <v>6</v>
      </c>
    </row>
    <row r="617" spans="1:5" ht="15" hidden="1" x14ac:dyDescent="0.25">
      <c r="A617" s="3">
        <v>2679</v>
      </c>
      <c r="B617" s="4" t="s">
        <v>556</v>
      </c>
      <c r="C617">
        <v>0.21299999999999999</v>
      </c>
      <c r="E617" t="s">
        <v>6</v>
      </c>
    </row>
    <row r="618" spans="1:5" ht="15" hidden="1" x14ac:dyDescent="0.25">
      <c r="A618" s="3">
        <v>388</v>
      </c>
      <c r="B618" s="4" t="s">
        <v>557</v>
      </c>
      <c r="C618">
        <v>2.5</v>
      </c>
      <c r="E618" t="s">
        <v>6</v>
      </c>
    </row>
    <row r="619" spans="1:5" ht="15" hidden="1" x14ac:dyDescent="0.25">
      <c r="A619" s="3">
        <v>492</v>
      </c>
      <c r="B619" s="4" t="s">
        <v>558</v>
      </c>
      <c r="C619">
        <v>2.5</v>
      </c>
      <c r="E619" t="s">
        <v>6</v>
      </c>
    </row>
    <row r="620" spans="1:5" ht="15" hidden="1" x14ac:dyDescent="0.25">
      <c r="A620" s="3">
        <v>389</v>
      </c>
      <c r="B620" s="4" t="s">
        <v>559</v>
      </c>
      <c r="C620">
        <v>2.5</v>
      </c>
      <c r="E620" t="s">
        <v>6</v>
      </c>
    </row>
    <row r="621" spans="1:5" ht="15" hidden="1" x14ac:dyDescent="0.25">
      <c r="A621" s="3">
        <v>1814</v>
      </c>
      <c r="B621" s="4" t="s">
        <v>560</v>
      </c>
      <c r="C621">
        <v>0.6</v>
      </c>
      <c r="E621" t="s">
        <v>6</v>
      </c>
    </row>
    <row r="622" spans="1:5" ht="15" hidden="1" x14ac:dyDescent="0.25">
      <c r="A622" s="3">
        <v>2548</v>
      </c>
      <c r="B622" s="4" t="s">
        <v>561</v>
      </c>
      <c r="C622">
        <v>0.69</v>
      </c>
      <c r="E622" t="s">
        <v>6</v>
      </c>
    </row>
    <row r="623" spans="1:5" ht="15" hidden="1" x14ac:dyDescent="0.25">
      <c r="A623" s="3">
        <v>390</v>
      </c>
      <c r="B623" s="4" t="s">
        <v>562</v>
      </c>
      <c r="C623">
        <v>0.69</v>
      </c>
      <c r="E623" t="s">
        <v>6</v>
      </c>
    </row>
    <row r="624" spans="1:5" ht="15" hidden="1" x14ac:dyDescent="0.25">
      <c r="A624" s="3">
        <v>391</v>
      </c>
      <c r="B624" s="4" t="s">
        <v>563</v>
      </c>
      <c r="C624">
        <v>0.69</v>
      </c>
      <c r="E624" t="s">
        <v>6</v>
      </c>
    </row>
    <row r="625" spans="1:5" ht="15" hidden="1" x14ac:dyDescent="0.25">
      <c r="A625" s="3">
        <v>1718</v>
      </c>
      <c r="B625" s="4" t="s">
        <v>564</v>
      </c>
      <c r="C625">
        <v>0.64</v>
      </c>
      <c r="E625" t="s">
        <v>6</v>
      </c>
    </row>
    <row r="626" spans="1:5" ht="15" hidden="1" x14ac:dyDescent="0.25">
      <c r="A626" s="3">
        <v>392</v>
      </c>
      <c r="B626" s="4" t="s">
        <v>565</v>
      </c>
      <c r="C626">
        <v>0.64</v>
      </c>
      <c r="E626" t="s">
        <v>6</v>
      </c>
    </row>
    <row r="627" spans="1:5" ht="15" hidden="1" x14ac:dyDescent="0.25">
      <c r="A627" s="3">
        <v>393</v>
      </c>
      <c r="B627" s="4" t="s">
        <v>566</v>
      </c>
      <c r="C627">
        <v>0.64</v>
      </c>
      <c r="E627" t="s">
        <v>6</v>
      </c>
    </row>
    <row r="628" spans="1:5" ht="15" hidden="1" x14ac:dyDescent="0.25">
      <c r="A628" s="3">
        <v>394</v>
      </c>
      <c r="B628" s="4" t="s">
        <v>567</v>
      </c>
      <c r="C628">
        <v>0.8</v>
      </c>
      <c r="E628" t="s">
        <v>6</v>
      </c>
    </row>
    <row r="629" spans="1:5" ht="15" hidden="1" x14ac:dyDescent="0.25">
      <c r="A629" s="3">
        <v>395</v>
      </c>
      <c r="B629" s="4" t="s">
        <v>568</v>
      </c>
      <c r="C629">
        <v>0.8</v>
      </c>
      <c r="E629" t="s">
        <v>6</v>
      </c>
    </row>
    <row r="630" spans="1:5" ht="15" hidden="1" x14ac:dyDescent="0.25">
      <c r="A630" s="3">
        <v>2545</v>
      </c>
      <c r="B630" s="4" t="s">
        <v>569</v>
      </c>
      <c r="C630">
        <v>0.8</v>
      </c>
      <c r="E630" t="s">
        <v>6</v>
      </c>
    </row>
    <row r="631" spans="1:5" ht="15" hidden="1" x14ac:dyDescent="0.25">
      <c r="A631" s="3">
        <v>396</v>
      </c>
      <c r="B631" s="4" t="s">
        <v>570</v>
      </c>
      <c r="C631">
        <v>0.95</v>
      </c>
      <c r="E631" t="s">
        <v>6</v>
      </c>
    </row>
    <row r="632" spans="1:5" ht="15" hidden="1" x14ac:dyDescent="0.25">
      <c r="A632" s="3">
        <v>397</v>
      </c>
      <c r="B632" s="4" t="s">
        <v>571</v>
      </c>
      <c r="C632">
        <v>2.8</v>
      </c>
      <c r="E632" t="s">
        <v>6</v>
      </c>
    </row>
    <row r="633" spans="1:5" ht="15" hidden="1" x14ac:dyDescent="0.25">
      <c r="A633" s="3">
        <v>398</v>
      </c>
      <c r="B633" s="4" t="s">
        <v>572</v>
      </c>
      <c r="C633">
        <v>2.8</v>
      </c>
      <c r="E633" t="s">
        <v>6</v>
      </c>
    </row>
    <row r="634" spans="1:5" ht="15" hidden="1" x14ac:dyDescent="0.25">
      <c r="A634" s="3">
        <v>399</v>
      </c>
      <c r="B634" s="4" t="s">
        <v>573</v>
      </c>
      <c r="C634">
        <v>2.8</v>
      </c>
      <c r="E634" t="s">
        <v>6</v>
      </c>
    </row>
    <row r="635" spans="1:5" ht="15" hidden="1" x14ac:dyDescent="0.25">
      <c r="A635" s="3">
        <v>3958</v>
      </c>
      <c r="B635" s="4" t="s">
        <v>1075</v>
      </c>
      <c r="E635" t="s">
        <v>6</v>
      </c>
    </row>
    <row r="636" spans="1:5" ht="15" hidden="1" x14ac:dyDescent="0.25">
      <c r="A636" s="3">
        <v>3959</v>
      </c>
      <c r="B636" s="4" t="s">
        <v>1076</v>
      </c>
      <c r="E636" t="s">
        <v>6</v>
      </c>
    </row>
    <row r="637" spans="1:5" ht="15" hidden="1" x14ac:dyDescent="0.25">
      <c r="A637" s="3">
        <v>2420</v>
      </c>
      <c r="B637" s="4" t="s">
        <v>574</v>
      </c>
      <c r="C637">
        <v>0.8</v>
      </c>
      <c r="E637" t="s">
        <v>6</v>
      </c>
    </row>
    <row r="638" spans="1:5" ht="15" hidden="1" x14ac:dyDescent="0.25">
      <c r="A638" s="3">
        <v>3027</v>
      </c>
      <c r="B638" s="4" t="s">
        <v>575</v>
      </c>
      <c r="C638">
        <v>0.47</v>
      </c>
      <c r="E638" t="s">
        <v>6</v>
      </c>
    </row>
    <row r="639" spans="1:5" ht="15" hidden="1" x14ac:dyDescent="0.25">
      <c r="A639" s="3">
        <v>3962</v>
      </c>
      <c r="B639" s="4" t="s">
        <v>1081</v>
      </c>
      <c r="E639" t="s">
        <v>6</v>
      </c>
    </row>
    <row r="640" spans="1:5" ht="15" hidden="1" x14ac:dyDescent="0.25">
      <c r="A640" s="3">
        <v>3264</v>
      </c>
      <c r="B640" s="4" t="s">
        <v>576</v>
      </c>
      <c r="C640">
        <v>0.47</v>
      </c>
      <c r="E640" t="s">
        <v>6</v>
      </c>
    </row>
    <row r="641" spans="1:5" ht="15" hidden="1" x14ac:dyDescent="0.25">
      <c r="A641" s="3">
        <v>1031</v>
      </c>
      <c r="B641" s="4" t="s">
        <v>580</v>
      </c>
      <c r="C641" t="s">
        <v>14</v>
      </c>
      <c r="E641" t="s">
        <v>6</v>
      </c>
    </row>
    <row r="642" spans="1:5" ht="15" hidden="1" x14ac:dyDescent="0.25">
      <c r="A642" s="3">
        <v>1252</v>
      </c>
      <c r="B642" s="4" t="s">
        <v>581</v>
      </c>
      <c r="C642" t="s">
        <v>14</v>
      </c>
      <c r="E642" t="s">
        <v>6</v>
      </c>
    </row>
    <row r="643" spans="1:5" ht="15" hidden="1" x14ac:dyDescent="0.25">
      <c r="A643" s="3">
        <v>753</v>
      </c>
      <c r="B643" s="4" t="s">
        <v>582</v>
      </c>
      <c r="C643" t="s">
        <v>14</v>
      </c>
      <c r="E643" t="s">
        <v>6</v>
      </c>
    </row>
    <row r="644" spans="1:5" ht="15" hidden="1" x14ac:dyDescent="0.25">
      <c r="A644" s="3">
        <v>738</v>
      </c>
      <c r="B644" s="4" t="s">
        <v>583</v>
      </c>
      <c r="C644" t="s">
        <v>14</v>
      </c>
      <c r="E644" t="s">
        <v>6</v>
      </c>
    </row>
    <row r="645" spans="1:5" ht="15" hidden="1" x14ac:dyDescent="0.25">
      <c r="A645" s="3">
        <v>764</v>
      </c>
      <c r="B645" s="4" t="s">
        <v>584</v>
      </c>
      <c r="C645" t="s">
        <v>14</v>
      </c>
      <c r="E645" t="s">
        <v>6</v>
      </c>
    </row>
    <row r="646" spans="1:5" ht="15" hidden="1" x14ac:dyDescent="0.25">
      <c r="A646" s="3">
        <v>1020</v>
      </c>
      <c r="B646" s="4" t="s">
        <v>585</v>
      </c>
      <c r="C646" t="s">
        <v>14</v>
      </c>
      <c r="E646" t="s">
        <v>6</v>
      </c>
    </row>
    <row r="647" spans="1:5" ht="15" hidden="1" x14ac:dyDescent="0.25">
      <c r="A647" s="3">
        <v>1714</v>
      </c>
      <c r="B647" s="4" t="s">
        <v>586</v>
      </c>
      <c r="C647" t="s">
        <v>14</v>
      </c>
      <c r="E647" t="s">
        <v>6</v>
      </c>
    </row>
    <row r="648" spans="1:5" ht="15" hidden="1" x14ac:dyDescent="0.25">
      <c r="A648" s="3">
        <v>1029</v>
      </c>
      <c r="B648" s="4" t="s">
        <v>587</v>
      </c>
      <c r="C648" t="s">
        <v>14</v>
      </c>
      <c r="E648" t="s">
        <v>6</v>
      </c>
    </row>
    <row r="649" spans="1:5" ht="15" hidden="1" x14ac:dyDescent="0.25">
      <c r="A649" s="3">
        <v>1330</v>
      </c>
      <c r="B649" s="4" t="s">
        <v>588</v>
      </c>
      <c r="C649" t="s">
        <v>14</v>
      </c>
      <c r="E649" t="s">
        <v>6</v>
      </c>
    </row>
    <row r="650" spans="1:5" ht="15" hidden="1" x14ac:dyDescent="0.25">
      <c r="A650" s="3">
        <v>1187</v>
      </c>
      <c r="B650" s="4" t="s">
        <v>589</v>
      </c>
      <c r="C650" t="s">
        <v>14</v>
      </c>
      <c r="E650" t="s">
        <v>6</v>
      </c>
    </row>
    <row r="651" spans="1:5" ht="15" hidden="1" x14ac:dyDescent="0.25">
      <c r="A651" s="3">
        <v>754</v>
      </c>
      <c r="B651" s="4" t="s">
        <v>590</v>
      </c>
      <c r="C651" t="s">
        <v>14</v>
      </c>
      <c r="E651" t="s">
        <v>6</v>
      </c>
    </row>
    <row r="652" spans="1:5" ht="15" hidden="1" x14ac:dyDescent="0.25">
      <c r="A652" s="3">
        <v>765</v>
      </c>
      <c r="B652" s="4" t="s">
        <v>591</v>
      </c>
      <c r="C652" t="s">
        <v>14</v>
      </c>
      <c r="E652" t="s">
        <v>6</v>
      </c>
    </row>
    <row r="653" spans="1:5" ht="15" hidden="1" x14ac:dyDescent="0.25">
      <c r="A653" s="3">
        <v>774</v>
      </c>
      <c r="B653" s="4" t="s">
        <v>592</v>
      </c>
      <c r="C653" t="s">
        <v>14</v>
      </c>
      <c r="E653" t="s">
        <v>6</v>
      </c>
    </row>
    <row r="654" spans="1:5" ht="15" hidden="1" x14ac:dyDescent="0.25">
      <c r="A654" s="3">
        <v>776</v>
      </c>
      <c r="B654" s="4" t="s">
        <v>593</v>
      </c>
      <c r="C654" t="s">
        <v>14</v>
      </c>
      <c r="E654" t="s">
        <v>6</v>
      </c>
    </row>
    <row r="655" spans="1:5" ht="15" hidden="1" x14ac:dyDescent="0.25">
      <c r="A655" s="3">
        <v>777</v>
      </c>
      <c r="B655" s="4" t="s">
        <v>594</v>
      </c>
      <c r="C655" t="s">
        <v>14</v>
      </c>
      <c r="E655" t="s">
        <v>6</v>
      </c>
    </row>
    <row r="656" spans="1:5" ht="15" hidden="1" x14ac:dyDescent="0.25">
      <c r="A656" s="3">
        <v>1011</v>
      </c>
      <c r="B656" s="4" t="s">
        <v>595</v>
      </c>
      <c r="C656" t="s">
        <v>14</v>
      </c>
      <c r="E656" t="s">
        <v>6</v>
      </c>
    </row>
    <row r="657" spans="1:5" ht="15" hidden="1" x14ac:dyDescent="0.25">
      <c r="A657" s="3">
        <v>773</v>
      </c>
      <c r="B657" s="4" t="s">
        <v>596</v>
      </c>
      <c r="C657" t="s">
        <v>14</v>
      </c>
      <c r="E657" t="s">
        <v>6</v>
      </c>
    </row>
    <row r="658" spans="1:5" ht="15" hidden="1" x14ac:dyDescent="0.25">
      <c r="A658" s="3">
        <v>741</v>
      </c>
      <c r="B658" s="4" t="s">
        <v>597</v>
      </c>
      <c r="C658" t="s">
        <v>14</v>
      </c>
      <c r="E658" t="s">
        <v>6</v>
      </c>
    </row>
    <row r="659" spans="1:5" ht="15" hidden="1" x14ac:dyDescent="0.25">
      <c r="A659" s="3">
        <v>1016</v>
      </c>
      <c r="B659" s="4" t="s">
        <v>598</v>
      </c>
      <c r="C659" t="s">
        <v>14</v>
      </c>
      <c r="E659" t="s">
        <v>6</v>
      </c>
    </row>
    <row r="660" spans="1:5" ht="15" hidden="1" x14ac:dyDescent="0.25">
      <c r="A660" s="3">
        <v>768</v>
      </c>
      <c r="B660" s="4" t="s">
        <v>599</v>
      </c>
      <c r="C660" t="s">
        <v>14</v>
      </c>
      <c r="E660" t="s">
        <v>6</v>
      </c>
    </row>
    <row r="661" spans="1:5" ht="15" hidden="1" x14ac:dyDescent="0.25">
      <c r="A661" s="3">
        <v>775</v>
      </c>
      <c r="B661" s="4" t="s">
        <v>600</v>
      </c>
      <c r="C661" t="s">
        <v>14</v>
      </c>
      <c r="E661" t="s">
        <v>6</v>
      </c>
    </row>
    <row r="662" spans="1:5" ht="15" hidden="1" x14ac:dyDescent="0.25">
      <c r="A662" s="3">
        <v>1019</v>
      </c>
      <c r="B662" s="4" t="s">
        <v>601</v>
      </c>
      <c r="C662" t="s">
        <v>14</v>
      </c>
      <c r="E662" t="s">
        <v>6</v>
      </c>
    </row>
    <row r="663" spans="1:5" ht="15" hidden="1" x14ac:dyDescent="0.25">
      <c r="A663" s="3">
        <v>734</v>
      </c>
      <c r="B663" s="4" t="s">
        <v>602</v>
      </c>
      <c r="C663" t="s">
        <v>14</v>
      </c>
      <c r="E663" t="s">
        <v>6</v>
      </c>
    </row>
    <row r="664" spans="1:5" ht="15" hidden="1" x14ac:dyDescent="0.25">
      <c r="A664" s="3">
        <v>1004</v>
      </c>
      <c r="B664" s="4" t="s">
        <v>603</v>
      </c>
      <c r="C664" t="s">
        <v>14</v>
      </c>
      <c r="E664" t="s">
        <v>6</v>
      </c>
    </row>
    <row r="665" spans="1:5" ht="15" hidden="1" x14ac:dyDescent="0.25">
      <c r="A665" s="3">
        <v>1030</v>
      </c>
      <c r="B665" s="4" t="s">
        <v>604</v>
      </c>
      <c r="C665" t="s">
        <v>14</v>
      </c>
      <c r="E665" t="s">
        <v>6</v>
      </c>
    </row>
    <row r="666" spans="1:5" ht="15" hidden="1" x14ac:dyDescent="0.25">
      <c r="A666" s="3">
        <v>1713</v>
      </c>
      <c r="B666" s="4" t="s">
        <v>605</v>
      </c>
      <c r="C666" t="s">
        <v>14</v>
      </c>
      <c r="E666" t="s">
        <v>6</v>
      </c>
    </row>
    <row r="667" spans="1:5" ht="15" hidden="1" x14ac:dyDescent="0.25">
      <c r="A667" s="3">
        <v>1400</v>
      </c>
      <c r="B667" s="4" t="s">
        <v>606</v>
      </c>
      <c r="C667" t="s">
        <v>14</v>
      </c>
      <c r="E667" t="s">
        <v>6</v>
      </c>
    </row>
    <row r="668" spans="1:5" ht="15" hidden="1" x14ac:dyDescent="0.25">
      <c r="A668" s="3">
        <v>1026</v>
      </c>
      <c r="B668" s="4" t="s">
        <v>607</v>
      </c>
      <c r="C668" t="s">
        <v>14</v>
      </c>
      <c r="E668" t="s">
        <v>6</v>
      </c>
    </row>
    <row r="669" spans="1:5" ht="15" hidden="1" x14ac:dyDescent="0.25">
      <c r="A669" s="3">
        <v>1023</v>
      </c>
      <c r="B669" s="4" t="s">
        <v>608</v>
      </c>
      <c r="C669" t="s">
        <v>14</v>
      </c>
      <c r="E669" t="s">
        <v>6</v>
      </c>
    </row>
    <row r="670" spans="1:5" ht="15" hidden="1" x14ac:dyDescent="0.25">
      <c r="A670" s="3">
        <v>1327</v>
      </c>
      <c r="B670" s="4" t="s">
        <v>609</v>
      </c>
      <c r="C670" t="s">
        <v>14</v>
      </c>
      <c r="E670" t="s">
        <v>6</v>
      </c>
    </row>
    <row r="671" spans="1:5" ht="15" hidden="1" x14ac:dyDescent="0.25">
      <c r="A671" s="3">
        <v>535</v>
      </c>
      <c r="B671" s="4" t="s">
        <v>610</v>
      </c>
      <c r="C671" t="s">
        <v>14</v>
      </c>
      <c r="E671" t="s">
        <v>6</v>
      </c>
    </row>
    <row r="672" spans="1:5" ht="15" hidden="1" x14ac:dyDescent="0.25">
      <c r="A672" s="3">
        <v>568</v>
      </c>
      <c r="B672" s="4" t="s">
        <v>611</v>
      </c>
      <c r="C672" t="s">
        <v>14</v>
      </c>
      <c r="E672" t="s">
        <v>6</v>
      </c>
    </row>
    <row r="673" spans="1:5" ht="15" hidden="1" x14ac:dyDescent="0.25">
      <c r="A673" s="3">
        <v>569</v>
      </c>
      <c r="B673" s="4" t="s">
        <v>612</v>
      </c>
      <c r="C673" t="s">
        <v>14</v>
      </c>
      <c r="E673" t="s">
        <v>6</v>
      </c>
    </row>
    <row r="674" spans="1:5" ht="15" hidden="1" x14ac:dyDescent="0.25">
      <c r="A674" s="3">
        <v>1742</v>
      </c>
      <c r="B674" s="4" t="s">
        <v>613</v>
      </c>
      <c r="C674" t="s">
        <v>14</v>
      </c>
      <c r="E674" t="s">
        <v>6</v>
      </c>
    </row>
    <row r="675" spans="1:5" ht="15" hidden="1" x14ac:dyDescent="0.25">
      <c r="A675" s="3">
        <v>1740</v>
      </c>
      <c r="B675" s="4" t="s">
        <v>614</v>
      </c>
      <c r="C675" t="s">
        <v>14</v>
      </c>
      <c r="E675" t="s">
        <v>6</v>
      </c>
    </row>
    <row r="676" spans="1:5" ht="15" hidden="1" x14ac:dyDescent="0.25">
      <c r="A676" s="3">
        <v>1741</v>
      </c>
      <c r="B676" s="4" t="s">
        <v>615</v>
      </c>
      <c r="C676" t="s">
        <v>14</v>
      </c>
      <c r="E676" t="s">
        <v>6</v>
      </c>
    </row>
    <row r="677" spans="1:5" ht="15" hidden="1" x14ac:dyDescent="0.25">
      <c r="A677" s="3">
        <v>1739</v>
      </c>
      <c r="B677" s="4" t="s">
        <v>616</v>
      </c>
      <c r="C677" t="s">
        <v>14</v>
      </c>
      <c r="E677" t="s">
        <v>6</v>
      </c>
    </row>
    <row r="678" spans="1:5" ht="15" hidden="1" x14ac:dyDescent="0.25">
      <c r="A678" s="3">
        <v>571</v>
      </c>
      <c r="B678" s="4" t="s">
        <v>617</v>
      </c>
      <c r="C678" t="s">
        <v>14</v>
      </c>
      <c r="E678" t="s">
        <v>6</v>
      </c>
    </row>
    <row r="679" spans="1:5" ht="15" hidden="1" x14ac:dyDescent="0.25">
      <c r="A679" s="3">
        <v>423</v>
      </c>
      <c r="B679" s="4" t="s">
        <v>618</v>
      </c>
      <c r="C679" t="s">
        <v>14</v>
      </c>
      <c r="E679" t="s">
        <v>6</v>
      </c>
    </row>
    <row r="680" spans="1:5" ht="15" hidden="1" x14ac:dyDescent="0.25">
      <c r="A680" s="3">
        <v>572</v>
      </c>
      <c r="B680" s="4" t="s">
        <v>619</v>
      </c>
      <c r="C680" t="s">
        <v>14</v>
      </c>
      <c r="E680" t="s">
        <v>6</v>
      </c>
    </row>
    <row r="681" spans="1:5" ht="15" hidden="1" x14ac:dyDescent="0.25">
      <c r="A681" s="3">
        <v>573</v>
      </c>
      <c r="B681" s="4" t="s">
        <v>620</v>
      </c>
      <c r="C681" t="s">
        <v>14</v>
      </c>
      <c r="E681" t="s">
        <v>6</v>
      </c>
    </row>
    <row r="682" spans="1:5" ht="15" hidden="1" x14ac:dyDescent="0.25">
      <c r="A682" s="3">
        <v>1012</v>
      </c>
      <c r="B682" s="4" t="s">
        <v>621</v>
      </c>
      <c r="C682" t="s">
        <v>14</v>
      </c>
      <c r="E682" t="s">
        <v>6</v>
      </c>
    </row>
    <row r="683" spans="1:5" ht="15" hidden="1" x14ac:dyDescent="0.25">
      <c r="A683" s="3">
        <v>1013</v>
      </c>
      <c r="B683" s="4" t="s">
        <v>622</v>
      </c>
      <c r="C683" t="s">
        <v>14</v>
      </c>
      <c r="E683" t="s">
        <v>6</v>
      </c>
    </row>
    <row r="684" spans="1:5" ht="15" hidden="1" x14ac:dyDescent="0.25">
      <c r="A684" s="3">
        <v>739</v>
      </c>
      <c r="B684" s="4" t="s">
        <v>623</v>
      </c>
      <c r="C684" t="s">
        <v>14</v>
      </c>
      <c r="E684" t="s">
        <v>6</v>
      </c>
    </row>
    <row r="685" spans="1:5" ht="15" hidden="1" x14ac:dyDescent="0.25">
      <c r="A685" s="3">
        <v>740</v>
      </c>
      <c r="B685" s="4" t="s">
        <v>624</v>
      </c>
      <c r="C685" t="s">
        <v>14</v>
      </c>
      <c r="E685" t="s">
        <v>6</v>
      </c>
    </row>
    <row r="686" spans="1:5" ht="15" hidden="1" x14ac:dyDescent="0.25">
      <c r="A686" s="3">
        <v>1014</v>
      </c>
      <c r="B686" s="4" t="s">
        <v>625</v>
      </c>
      <c r="C686" t="s">
        <v>14</v>
      </c>
      <c r="E686" t="s">
        <v>6</v>
      </c>
    </row>
    <row r="687" spans="1:5" ht="15" hidden="1" x14ac:dyDescent="0.25">
      <c r="A687" s="3">
        <v>1015</v>
      </c>
      <c r="B687" s="4" t="s">
        <v>626</v>
      </c>
      <c r="C687" t="s">
        <v>14</v>
      </c>
      <c r="E687" t="s">
        <v>6</v>
      </c>
    </row>
    <row r="688" spans="1:5" ht="15" hidden="1" x14ac:dyDescent="0.25">
      <c r="A688" s="3">
        <v>732</v>
      </c>
      <c r="B688" s="4" t="s">
        <v>627</v>
      </c>
      <c r="C688" t="s">
        <v>14</v>
      </c>
      <c r="E688" t="s">
        <v>6</v>
      </c>
    </row>
    <row r="689" spans="1:5" ht="15" hidden="1" x14ac:dyDescent="0.25">
      <c r="A689" s="3">
        <v>733</v>
      </c>
      <c r="B689" s="4" t="s">
        <v>628</v>
      </c>
      <c r="C689" t="s">
        <v>14</v>
      </c>
      <c r="E689" t="s">
        <v>6</v>
      </c>
    </row>
    <row r="690" spans="1:5" ht="15" hidden="1" x14ac:dyDescent="0.25">
      <c r="A690" s="3">
        <v>1002</v>
      </c>
      <c r="B690" s="4" t="s">
        <v>629</v>
      </c>
      <c r="C690" t="s">
        <v>14</v>
      </c>
      <c r="E690" t="s">
        <v>6</v>
      </c>
    </row>
    <row r="691" spans="1:5" ht="15" hidden="1" x14ac:dyDescent="0.25">
      <c r="A691" s="3">
        <v>1003</v>
      </c>
      <c r="B691" s="4" t="s">
        <v>630</v>
      </c>
      <c r="C691" t="s">
        <v>14</v>
      </c>
      <c r="E691" t="s">
        <v>6</v>
      </c>
    </row>
    <row r="692" spans="1:5" ht="15" hidden="1" x14ac:dyDescent="0.25">
      <c r="A692" s="3">
        <v>1017</v>
      </c>
      <c r="B692" s="4" t="s">
        <v>631</v>
      </c>
      <c r="C692" t="s">
        <v>14</v>
      </c>
      <c r="E692" t="s">
        <v>6</v>
      </c>
    </row>
    <row r="693" spans="1:5" ht="15" hidden="1" x14ac:dyDescent="0.25">
      <c r="A693" s="3">
        <v>1018</v>
      </c>
      <c r="B693" s="4" t="s">
        <v>632</v>
      </c>
      <c r="C693" t="s">
        <v>14</v>
      </c>
      <c r="E693" t="s">
        <v>6</v>
      </c>
    </row>
    <row r="694" spans="1:5" ht="15" hidden="1" x14ac:dyDescent="0.25">
      <c r="A694" s="3">
        <v>1398</v>
      </c>
      <c r="B694" s="4" t="s">
        <v>633</v>
      </c>
      <c r="C694" t="s">
        <v>14</v>
      </c>
      <c r="E694" t="s">
        <v>6</v>
      </c>
    </row>
    <row r="695" spans="1:5" ht="15" hidden="1" x14ac:dyDescent="0.25">
      <c r="A695" s="3">
        <v>1399</v>
      </c>
      <c r="B695" s="4" t="s">
        <v>634</v>
      </c>
      <c r="C695" t="s">
        <v>14</v>
      </c>
      <c r="E695" t="s">
        <v>6</v>
      </c>
    </row>
    <row r="696" spans="1:5" ht="15" hidden="1" x14ac:dyDescent="0.25">
      <c r="A696" s="3">
        <v>1024</v>
      </c>
      <c r="B696" s="4" t="s">
        <v>635</v>
      </c>
      <c r="C696" t="s">
        <v>14</v>
      </c>
      <c r="E696" t="s">
        <v>6</v>
      </c>
    </row>
    <row r="697" spans="1:5" ht="15" hidden="1" x14ac:dyDescent="0.25">
      <c r="A697" s="3">
        <v>1025</v>
      </c>
      <c r="B697" s="4" t="s">
        <v>636</v>
      </c>
      <c r="C697" t="s">
        <v>14</v>
      </c>
      <c r="E697" t="s">
        <v>6</v>
      </c>
    </row>
    <row r="698" spans="1:5" ht="15" hidden="1" x14ac:dyDescent="0.25">
      <c r="A698" s="3">
        <v>1021</v>
      </c>
      <c r="B698" s="4" t="s">
        <v>637</v>
      </c>
      <c r="C698" t="s">
        <v>14</v>
      </c>
      <c r="E698" t="s">
        <v>6</v>
      </c>
    </row>
    <row r="699" spans="1:5" ht="15" hidden="1" x14ac:dyDescent="0.25">
      <c r="A699" s="3">
        <v>1022</v>
      </c>
      <c r="B699" s="4" t="s">
        <v>638</v>
      </c>
      <c r="C699" t="s">
        <v>14</v>
      </c>
      <c r="E699" t="s">
        <v>6</v>
      </c>
    </row>
    <row r="700" spans="1:5" ht="15" hidden="1" x14ac:dyDescent="0.25">
      <c r="A700" s="3">
        <v>1326</v>
      </c>
      <c r="B700" s="4" t="s">
        <v>639</v>
      </c>
      <c r="C700" t="s">
        <v>14</v>
      </c>
      <c r="E700" t="s">
        <v>6</v>
      </c>
    </row>
    <row r="701" spans="1:5" ht="15" hidden="1" x14ac:dyDescent="0.25">
      <c r="A701" s="3">
        <v>1325</v>
      </c>
      <c r="B701" s="4" t="s">
        <v>640</v>
      </c>
      <c r="C701" t="s">
        <v>14</v>
      </c>
      <c r="E701" t="s">
        <v>6</v>
      </c>
    </row>
    <row r="702" spans="1:5" ht="15" hidden="1" x14ac:dyDescent="0.25">
      <c r="A702" s="3">
        <v>1027</v>
      </c>
      <c r="B702" s="4" t="s">
        <v>641</v>
      </c>
      <c r="C702" t="s">
        <v>14</v>
      </c>
      <c r="E702" t="s">
        <v>6</v>
      </c>
    </row>
    <row r="703" spans="1:5" ht="15" hidden="1" x14ac:dyDescent="0.25">
      <c r="A703" s="3">
        <v>1028</v>
      </c>
      <c r="B703" s="4" t="s">
        <v>642</v>
      </c>
      <c r="C703" t="s">
        <v>14</v>
      </c>
      <c r="E703" t="s">
        <v>6</v>
      </c>
    </row>
    <row r="704" spans="1:5" ht="15" hidden="1" x14ac:dyDescent="0.25">
      <c r="A704" s="3">
        <v>1329</v>
      </c>
      <c r="B704" s="4" t="s">
        <v>643</v>
      </c>
      <c r="C704" t="s">
        <v>14</v>
      </c>
      <c r="E704" t="s">
        <v>6</v>
      </c>
    </row>
    <row r="705" spans="1:5" ht="15" hidden="1" x14ac:dyDescent="0.25">
      <c r="A705" s="3">
        <v>1328</v>
      </c>
      <c r="B705" s="4" t="s">
        <v>644</v>
      </c>
      <c r="C705" t="s">
        <v>14</v>
      </c>
      <c r="E705" t="s">
        <v>6</v>
      </c>
    </row>
    <row r="706" spans="1:5" ht="15" hidden="1" x14ac:dyDescent="0.25">
      <c r="A706" s="3">
        <v>419</v>
      </c>
      <c r="B706" s="4" t="s">
        <v>645</v>
      </c>
      <c r="C706" t="s">
        <v>14</v>
      </c>
      <c r="E706" t="s">
        <v>6</v>
      </c>
    </row>
    <row r="707" spans="1:5" ht="15" hidden="1" x14ac:dyDescent="0.25">
      <c r="A707" s="3">
        <v>420</v>
      </c>
      <c r="B707" s="4" t="s">
        <v>646</v>
      </c>
      <c r="C707" t="s">
        <v>14</v>
      </c>
      <c r="E707" t="s">
        <v>6</v>
      </c>
    </row>
    <row r="708" spans="1:5" ht="15" hidden="1" x14ac:dyDescent="0.25">
      <c r="A708" s="3">
        <v>421</v>
      </c>
      <c r="B708" s="4" t="s">
        <v>647</v>
      </c>
      <c r="C708" t="s">
        <v>14</v>
      </c>
      <c r="E708" t="s">
        <v>6</v>
      </c>
    </row>
    <row r="709" spans="1:5" ht="15" hidden="1" x14ac:dyDescent="0.25">
      <c r="A709" s="3">
        <v>422</v>
      </c>
      <c r="B709" s="4" t="s">
        <v>648</v>
      </c>
      <c r="C709" t="s">
        <v>14</v>
      </c>
      <c r="E709" t="s">
        <v>6</v>
      </c>
    </row>
    <row r="710" spans="1:5" ht="15" hidden="1" x14ac:dyDescent="0.25">
      <c r="A710" s="3">
        <v>2787</v>
      </c>
      <c r="B710" s="4" t="s">
        <v>649</v>
      </c>
      <c r="C710" t="s">
        <v>14</v>
      </c>
      <c r="E710" t="s">
        <v>6</v>
      </c>
    </row>
    <row r="711" spans="1:5" ht="15" hidden="1" x14ac:dyDescent="0.25">
      <c r="A711" s="3">
        <v>2907</v>
      </c>
      <c r="B711" s="4" t="s">
        <v>650</v>
      </c>
      <c r="C711" t="s">
        <v>14</v>
      </c>
      <c r="E711" t="s">
        <v>6</v>
      </c>
    </row>
    <row r="712" spans="1:5" ht="15" hidden="1" x14ac:dyDescent="0.25">
      <c r="A712" s="3">
        <v>2610</v>
      </c>
      <c r="B712" s="4" t="s">
        <v>651</v>
      </c>
      <c r="C712" t="s">
        <v>14</v>
      </c>
      <c r="E712" t="s">
        <v>6</v>
      </c>
    </row>
    <row r="713" spans="1:5" ht="15" hidden="1" x14ac:dyDescent="0.25">
      <c r="A713" s="3">
        <v>2492</v>
      </c>
      <c r="B713" s="4" t="s">
        <v>652</v>
      </c>
      <c r="C713" t="s">
        <v>14</v>
      </c>
      <c r="E713" t="s">
        <v>6</v>
      </c>
    </row>
    <row r="714" spans="1:5" ht="15" hidden="1" x14ac:dyDescent="0.25">
      <c r="A714" s="3">
        <v>3129</v>
      </c>
      <c r="B714" s="4" t="s">
        <v>653</v>
      </c>
      <c r="C714" t="s">
        <v>14</v>
      </c>
      <c r="E714" t="s">
        <v>6</v>
      </c>
    </row>
    <row r="715" spans="1:5" ht="15" hidden="1" x14ac:dyDescent="0.25">
      <c r="A715" s="3">
        <v>2987</v>
      </c>
      <c r="B715" s="4" t="s">
        <v>654</v>
      </c>
      <c r="C715" t="s">
        <v>14</v>
      </c>
      <c r="E715" t="s">
        <v>6</v>
      </c>
    </row>
    <row r="716" spans="1:5" ht="15" hidden="1" x14ac:dyDescent="0.25">
      <c r="A716" s="3">
        <v>2609</v>
      </c>
      <c r="B716" s="4" t="s">
        <v>655</v>
      </c>
      <c r="C716" t="s">
        <v>14</v>
      </c>
      <c r="E716" t="s">
        <v>6</v>
      </c>
    </row>
    <row r="717" spans="1:5" ht="15" hidden="1" x14ac:dyDescent="0.25">
      <c r="A717" s="3">
        <v>2986</v>
      </c>
      <c r="B717" s="4" t="s">
        <v>656</v>
      </c>
      <c r="C717" t="s">
        <v>14</v>
      </c>
      <c r="E717" t="s">
        <v>6</v>
      </c>
    </row>
    <row r="718" spans="1:5" ht="15" hidden="1" x14ac:dyDescent="0.25">
      <c r="A718" s="3">
        <v>2491</v>
      </c>
      <c r="B718" s="4" t="s">
        <v>657</v>
      </c>
      <c r="C718" t="s">
        <v>14</v>
      </c>
      <c r="E718" t="s">
        <v>6</v>
      </c>
    </row>
    <row r="719" spans="1:5" ht="15" hidden="1" x14ac:dyDescent="0.25">
      <c r="A719" s="3">
        <v>3097</v>
      </c>
      <c r="B719" s="4" t="s">
        <v>658</v>
      </c>
      <c r="C719" t="s">
        <v>14</v>
      </c>
      <c r="E719" t="s">
        <v>6</v>
      </c>
    </row>
    <row r="720" spans="1:5" ht="15" hidden="1" x14ac:dyDescent="0.25">
      <c r="A720" s="3">
        <v>2890</v>
      </c>
      <c r="B720" s="4" t="s">
        <v>659</v>
      </c>
      <c r="C720" t="s">
        <v>14</v>
      </c>
      <c r="E720" t="s">
        <v>6</v>
      </c>
    </row>
    <row r="721" spans="1:5" ht="15" hidden="1" x14ac:dyDescent="0.25">
      <c r="A721" s="3">
        <v>2972</v>
      </c>
      <c r="B721" s="4" t="s">
        <v>660</v>
      </c>
      <c r="C721" t="s">
        <v>14</v>
      </c>
      <c r="E721" t="s">
        <v>6</v>
      </c>
    </row>
    <row r="722" spans="1:5" ht="15" hidden="1" x14ac:dyDescent="0.25">
      <c r="A722" s="3">
        <v>3064</v>
      </c>
      <c r="B722" s="4" t="s">
        <v>661</v>
      </c>
      <c r="C722" t="s">
        <v>14</v>
      </c>
      <c r="E722" t="s">
        <v>6</v>
      </c>
    </row>
    <row r="723" spans="1:5" ht="15" hidden="1" x14ac:dyDescent="0.25">
      <c r="A723" s="3">
        <v>3161</v>
      </c>
      <c r="B723" s="4" t="s">
        <v>662</v>
      </c>
      <c r="C723" t="s">
        <v>14</v>
      </c>
      <c r="E723" t="s">
        <v>6</v>
      </c>
    </row>
    <row r="724" spans="1:5" ht="15" hidden="1" x14ac:dyDescent="0.25">
      <c r="A724" s="3">
        <v>2663</v>
      </c>
      <c r="B724" s="4" t="s">
        <v>663</v>
      </c>
      <c r="C724" t="s">
        <v>14</v>
      </c>
      <c r="E724" t="s">
        <v>6</v>
      </c>
    </row>
    <row r="725" spans="1:5" ht="15" hidden="1" x14ac:dyDescent="0.25">
      <c r="A725" s="3">
        <v>2976</v>
      </c>
      <c r="B725" s="4" t="s">
        <v>664</v>
      </c>
      <c r="C725" t="s">
        <v>14</v>
      </c>
      <c r="E725" t="s">
        <v>6</v>
      </c>
    </row>
    <row r="726" spans="1:5" ht="15" hidden="1" x14ac:dyDescent="0.25">
      <c r="A726" s="3">
        <v>3081</v>
      </c>
      <c r="B726" s="4" t="s">
        <v>665</v>
      </c>
      <c r="C726" t="s">
        <v>14</v>
      </c>
      <c r="E726" t="s">
        <v>6</v>
      </c>
    </row>
    <row r="727" spans="1:5" ht="15" hidden="1" x14ac:dyDescent="0.25">
      <c r="A727" s="3">
        <v>2791</v>
      </c>
      <c r="B727" s="4" t="s">
        <v>666</v>
      </c>
      <c r="C727" t="s">
        <v>14</v>
      </c>
      <c r="E727" t="s">
        <v>6</v>
      </c>
    </row>
    <row r="728" spans="1:5" ht="15" hidden="1" x14ac:dyDescent="0.25">
      <c r="A728" s="3">
        <v>2846</v>
      </c>
      <c r="B728" s="4" t="s">
        <v>667</v>
      </c>
      <c r="C728" t="s">
        <v>14</v>
      </c>
      <c r="E728" t="s">
        <v>6</v>
      </c>
    </row>
    <row r="729" spans="1:5" ht="15" hidden="1" x14ac:dyDescent="0.25">
      <c r="A729" s="3">
        <v>2743</v>
      </c>
      <c r="B729" s="4" t="s">
        <v>668</v>
      </c>
      <c r="C729" t="s">
        <v>14</v>
      </c>
      <c r="E729" t="s">
        <v>6</v>
      </c>
    </row>
    <row r="730" spans="1:5" ht="15" hidden="1" x14ac:dyDescent="0.25">
      <c r="A730" s="3">
        <v>3042</v>
      </c>
      <c r="B730" s="4" t="s">
        <v>669</v>
      </c>
      <c r="C730" t="s">
        <v>14</v>
      </c>
      <c r="E730" t="s">
        <v>6</v>
      </c>
    </row>
    <row r="731" spans="1:5" ht="15" hidden="1" x14ac:dyDescent="0.25">
      <c r="A731" s="3">
        <v>3044</v>
      </c>
      <c r="B731" s="4" t="s">
        <v>670</v>
      </c>
      <c r="C731" t="s">
        <v>14</v>
      </c>
      <c r="E731" t="s">
        <v>6</v>
      </c>
    </row>
    <row r="732" spans="1:5" ht="15" hidden="1" x14ac:dyDescent="0.25">
      <c r="A732" s="3">
        <v>2882</v>
      </c>
      <c r="B732" s="4" t="s">
        <v>671</v>
      </c>
      <c r="C732" t="s">
        <v>14</v>
      </c>
      <c r="E732" t="s">
        <v>6</v>
      </c>
    </row>
    <row r="733" spans="1:5" ht="15" hidden="1" x14ac:dyDescent="0.25">
      <c r="A733" s="3">
        <v>2888</v>
      </c>
      <c r="B733" s="4" t="s">
        <v>672</v>
      </c>
      <c r="C733" t="s">
        <v>14</v>
      </c>
      <c r="E733" t="s">
        <v>6</v>
      </c>
    </row>
    <row r="734" spans="1:5" ht="15" hidden="1" x14ac:dyDescent="0.25">
      <c r="A734" s="3">
        <v>2414</v>
      </c>
      <c r="B734" s="4" t="s">
        <v>673</v>
      </c>
      <c r="C734" t="s">
        <v>14</v>
      </c>
      <c r="E734" t="s">
        <v>6</v>
      </c>
    </row>
    <row r="735" spans="1:5" ht="15" hidden="1" x14ac:dyDescent="0.25">
      <c r="A735" s="3">
        <v>2869</v>
      </c>
      <c r="B735" s="4" t="s">
        <v>674</v>
      </c>
      <c r="C735" t="s">
        <v>14</v>
      </c>
      <c r="E735" t="s">
        <v>6</v>
      </c>
    </row>
    <row r="736" spans="1:5" ht="15" hidden="1" x14ac:dyDescent="0.25">
      <c r="A736" s="3">
        <v>2681</v>
      </c>
      <c r="B736" s="4" t="s">
        <v>675</v>
      </c>
      <c r="C736" t="s">
        <v>14</v>
      </c>
      <c r="E736" t="s">
        <v>6</v>
      </c>
    </row>
    <row r="737" spans="1:5" ht="15" hidden="1" x14ac:dyDescent="0.25">
      <c r="A737" s="3">
        <v>3095</v>
      </c>
      <c r="B737" s="4" t="s">
        <v>676</v>
      </c>
      <c r="C737" t="s">
        <v>14</v>
      </c>
      <c r="E737" t="s">
        <v>6</v>
      </c>
    </row>
    <row r="738" spans="1:5" ht="15" hidden="1" x14ac:dyDescent="0.25">
      <c r="A738" s="3">
        <v>2974</v>
      </c>
      <c r="B738" s="4" t="s">
        <v>677</v>
      </c>
      <c r="C738" t="s">
        <v>14</v>
      </c>
      <c r="E738" t="s">
        <v>6</v>
      </c>
    </row>
    <row r="739" spans="1:5" ht="15" hidden="1" x14ac:dyDescent="0.25">
      <c r="A739" s="3">
        <v>2684</v>
      </c>
      <c r="B739" s="4" t="s">
        <v>678</v>
      </c>
      <c r="C739" t="s">
        <v>14</v>
      </c>
      <c r="E739" t="s">
        <v>6</v>
      </c>
    </row>
    <row r="740" spans="1:5" ht="15" hidden="1" x14ac:dyDescent="0.25">
      <c r="A740" s="3">
        <v>2868</v>
      </c>
      <c r="B740" s="4" t="s">
        <v>679</v>
      </c>
      <c r="C740" t="s">
        <v>14</v>
      </c>
      <c r="E740" t="s">
        <v>6</v>
      </c>
    </row>
    <row r="741" spans="1:5" ht="15" hidden="1" x14ac:dyDescent="0.25">
      <c r="A741" s="3">
        <v>2413</v>
      </c>
      <c r="B741" s="4" t="s">
        <v>680</v>
      </c>
      <c r="C741" t="s">
        <v>14</v>
      </c>
      <c r="E741" t="s">
        <v>6</v>
      </c>
    </row>
    <row r="742" spans="1:5" ht="15" hidden="1" x14ac:dyDescent="0.25">
      <c r="A742" s="3">
        <v>3096</v>
      </c>
      <c r="B742" s="4" t="s">
        <v>681</v>
      </c>
      <c r="C742" t="s">
        <v>14</v>
      </c>
      <c r="E742" t="s">
        <v>6</v>
      </c>
    </row>
    <row r="743" spans="1:5" ht="15" hidden="1" x14ac:dyDescent="0.25">
      <c r="A743" s="3">
        <v>2881</v>
      </c>
      <c r="B743" s="4" t="s">
        <v>682</v>
      </c>
      <c r="C743" t="s">
        <v>14</v>
      </c>
      <c r="E743" t="s">
        <v>6</v>
      </c>
    </row>
    <row r="744" spans="1:5" ht="15" hidden="1" x14ac:dyDescent="0.25">
      <c r="A744" s="3">
        <v>3177</v>
      </c>
      <c r="B744" s="4" t="s">
        <v>683</v>
      </c>
      <c r="C744" t="s">
        <v>14</v>
      </c>
      <c r="E744" t="s">
        <v>6</v>
      </c>
    </row>
    <row r="745" spans="1:5" ht="15" hidden="1" x14ac:dyDescent="0.25">
      <c r="A745" s="3">
        <v>2782</v>
      </c>
      <c r="B745" s="4" t="s">
        <v>684</v>
      </c>
      <c r="C745" t="s">
        <v>14</v>
      </c>
      <c r="E745" t="s">
        <v>6</v>
      </c>
    </row>
    <row r="746" spans="1:5" ht="15" hidden="1" x14ac:dyDescent="0.25">
      <c r="A746" s="3">
        <v>2971</v>
      </c>
      <c r="B746" s="4" t="s">
        <v>685</v>
      </c>
      <c r="C746" t="s">
        <v>14</v>
      </c>
      <c r="E746" t="s">
        <v>6</v>
      </c>
    </row>
    <row r="747" spans="1:5" ht="15" hidden="1" x14ac:dyDescent="0.25">
      <c r="A747" s="3">
        <v>2889</v>
      </c>
      <c r="B747" s="4" t="s">
        <v>686</v>
      </c>
      <c r="C747" t="s">
        <v>14</v>
      </c>
      <c r="E747" t="s">
        <v>6</v>
      </c>
    </row>
    <row r="748" spans="1:5" ht="15" hidden="1" x14ac:dyDescent="0.25">
      <c r="A748" s="3">
        <v>2973</v>
      </c>
      <c r="B748" s="4" t="s">
        <v>687</v>
      </c>
      <c r="C748" t="s">
        <v>14</v>
      </c>
      <c r="E748" t="s">
        <v>6</v>
      </c>
    </row>
    <row r="749" spans="1:5" ht="15" hidden="1" x14ac:dyDescent="0.25">
      <c r="A749" s="3">
        <v>2792</v>
      </c>
      <c r="B749" s="4" t="s">
        <v>688</v>
      </c>
      <c r="C749" t="s">
        <v>14</v>
      </c>
      <c r="E749" t="s">
        <v>6</v>
      </c>
    </row>
    <row r="750" spans="1:5" ht="15" hidden="1" x14ac:dyDescent="0.25">
      <c r="A750" s="3">
        <v>2664</v>
      </c>
      <c r="B750" s="4" t="s">
        <v>689</v>
      </c>
      <c r="C750" t="s">
        <v>14</v>
      </c>
      <c r="E750" t="s">
        <v>6</v>
      </c>
    </row>
    <row r="751" spans="1:5" ht="15" hidden="1" x14ac:dyDescent="0.25">
      <c r="A751" s="3">
        <v>3065</v>
      </c>
      <c r="B751" s="4" t="s">
        <v>690</v>
      </c>
      <c r="C751" t="s">
        <v>14</v>
      </c>
      <c r="E751" t="s">
        <v>6</v>
      </c>
    </row>
    <row r="752" spans="1:5" ht="15" hidden="1" x14ac:dyDescent="0.25">
      <c r="A752" s="3">
        <v>2975</v>
      </c>
      <c r="B752" s="4" t="s">
        <v>691</v>
      </c>
      <c r="C752" t="s">
        <v>14</v>
      </c>
      <c r="E752" t="s">
        <v>6</v>
      </c>
    </row>
    <row r="753" spans="1:5" ht="15" hidden="1" x14ac:dyDescent="0.25">
      <c r="A753" s="3">
        <v>3080</v>
      </c>
      <c r="B753" s="4" t="s">
        <v>692</v>
      </c>
      <c r="C753" t="s">
        <v>14</v>
      </c>
      <c r="E753" t="s">
        <v>6</v>
      </c>
    </row>
    <row r="754" spans="1:5" ht="15" hidden="1" x14ac:dyDescent="0.25">
      <c r="A754" s="3">
        <v>2847</v>
      </c>
      <c r="B754" s="4" t="s">
        <v>693</v>
      </c>
      <c r="C754" t="s">
        <v>14</v>
      </c>
      <c r="E754" t="s">
        <v>6</v>
      </c>
    </row>
    <row r="755" spans="1:5" ht="15" hidden="1" x14ac:dyDescent="0.25">
      <c r="A755" s="3">
        <v>2508</v>
      </c>
      <c r="B755" s="4" t="s">
        <v>694</v>
      </c>
      <c r="C755" t="s">
        <v>14</v>
      </c>
      <c r="E755" t="s">
        <v>6</v>
      </c>
    </row>
    <row r="756" spans="1:5" ht="15" hidden="1" x14ac:dyDescent="0.25">
      <c r="A756" s="3">
        <v>2942</v>
      </c>
      <c r="B756" s="4" t="s">
        <v>695</v>
      </c>
      <c r="C756" t="s">
        <v>14</v>
      </c>
      <c r="E756" t="s">
        <v>6</v>
      </c>
    </row>
    <row r="757" spans="1:5" ht="15" hidden="1" x14ac:dyDescent="0.25">
      <c r="A757" s="3">
        <v>3113</v>
      </c>
      <c r="B757" s="4" t="s">
        <v>696</v>
      </c>
      <c r="C757" t="s">
        <v>14</v>
      </c>
      <c r="E757" t="s">
        <v>6</v>
      </c>
    </row>
    <row r="758" spans="1:5" ht="15" hidden="1" x14ac:dyDescent="0.25">
      <c r="A758" s="3">
        <v>3107</v>
      </c>
      <c r="B758" s="4" t="s">
        <v>697</v>
      </c>
      <c r="C758" t="s">
        <v>14</v>
      </c>
      <c r="E758" t="s">
        <v>6</v>
      </c>
    </row>
    <row r="759" spans="1:5" ht="15" hidden="1" x14ac:dyDescent="0.25">
      <c r="A759" s="3">
        <v>2892</v>
      </c>
      <c r="B759" s="4" t="s">
        <v>698</v>
      </c>
      <c r="C759" t="s">
        <v>14</v>
      </c>
      <c r="E759" t="s">
        <v>6</v>
      </c>
    </row>
    <row r="760" spans="1:5" ht="15" hidden="1" x14ac:dyDescent="0.25">
      <c r="A760" s="3">
        <v>2894</v>
      </c>
      <c r="B760" s="4" t="s">
        <v>698</v>
      </c>
      <c r="C760" t="s">
        <v>14</v>
      </c>
      <c r="E760" t="s">
        <v>6</v>
      </c>
    </row>
    <row r="761" spans="1:5" ht="15" hidden="1" x14ac:dyDescent="0.25">
      <c r="A761" s="3">
        <v>3062</v>
      </c>
      <c r="B761" s="4" t="s">
        <v>699</v>
      </c>
      <c r="C761" t="s">
        <v>14</v>
      </c>
      <c r="E761" t="s">
        <v>6</v>
      </c>
    </row>
    <row r="762" spans="1:5" ht="15" hidden="1" x14ac:dyDescent="0.25">
      <c r="A762" s="3">
        <v>3337</v>
      </c>
      <c r="B762" s="4" t="s">
        <v>700</v>
      </c>
      <c r="C762" t="s">
        <v>14</v>
      </c>
      <c r="E762" t="s">
        <v>6</v>
      </c>
    </row>
    <row r="763" spans="1:5" ht="15" hidden="1" x14ac:dyDescent="0.25">
      <c r="A763" s="3">
        <v>3067</v>
      </c>
      <c r="B763" s="4" t="s">
        <v>701</v>
      </c>
      <c r="C763" t="s">
        <v>14</v>
      </c>
      <c r="E763" t="s">
        <v>6</v>
      </c>
    </row>
    <row r="764" spans="1:5" ht="15" hidden="1" x14ac:dyDescent="0.25">
      <c r="A764" s="3">
        <v>2982</v>
      </c>
      <c r="B764" s="4" t="s">
        <v>702</v>
      </c>
      <c r="C764" t="s">
        <v>14</v>
      </c>
      <c r="E764" t="s">
        <v>6</v>
      </c>
    </row>
    <row r="765" spans="1:5" ht="15" hidden="1" x14ac:dyDescent="0.25">
      <c r="A765" s="3">
        <v>3018</v>
      </c>
      <c r="B765" s="4" t="s">
        <v>703</v>
      </c>
      <c r="C765" t="s">
        <v>14</v>
      </c>
      <c r="E765" t="s">
        <v>6</v>
      </c>
    </row>
    <row r="766" spans="1:5" ht="15" hidden="1" x14ac:dyDescent="0.25">
      <c r="A766" s="3">
        <v>3041</v>
      </c>
      <c r="B766" s="4" t="s">
        <v>704</v>
      </c>
      <c r="C766" t="s">
        <v>14</v>
      </c>
      <c r="E766" t="s">
        <v>6</v>
      </c>
    </row>
    <row r="767" spans="1:5" ht="15" hidden="1" x14ac:dyDescent="0.25">
      <c r="A767" s="3">
        <v>2941</v>
      </c>
      <c r="B767" s="4" t="s">
        <v>705</v>
      </c>
      <c r="C767" t="s">
        <v>14</v>
      </c>
      <c r="E767" t="s">
        <v>6</v>
      </c>
    </row>
    <row r="768" spans="1:5" ht="15" hidden="1" x14ac:dyDescent="0.25">
      <c r="A768" s="3">
        <v>2712</v>
      </c>
      <c r="B768" s="4" t="s">
        <v>706</v>
      </c>
      <c r="C768" t="s">
        <v>14</v>
      </c>
      <c r="E768" t="s">
        <v>6</v>
      </c>
    </row>
    <row r="769" spans="1:5" ht="15" hidden="1" x14ac:dyDescent="0.25">
      <c r="A769" s="3">
        <v>3076</v>
      </c>
      <c r="B769" s="4" t="s">
        <v>707</v>
      </c>
      <c r="C769" t="s">
        <v>14</v>
      </c>
      <c r="E769" t="s">
        <v>6</v>
      </c>
    </row>
    <row r="770" spans="1:5" ht="15" hidden="1" x14ac:dyDescent="0.25">
      <c r="A770" s="3">
        <v>2715</v>
      </c>
      <c r="B770" s="4" t="s">
        <v>708</v>
      </c>
      <c r="C770" t="s">
        <v>14</v>
      </c>
      <c r="E770" t="s">
        <v>6</v>
      </c>
    </row>
    <row r="771" spans="1:5" ht="15" hidden="1" x14ac:dyDescent="0.25">
      <c r="A771" s="3">
        <v>4699</v>
      </c>
      <c r="B771" s="4" t="s">
        <v>1282</v>
      </c>
      <c r="E771" t="s">
        <v>6</v>
      </c>
    </row>
    <row r="772" spans="1:5" ht="15" hidden="1" x14ac:dyDescent="0.25">
      <c r="A772" s="3">
        <v>4696</v>
      </c>
      <c r="B772" s="4" t="s">
        <v>1283</v>
      </c>
      <c r="E772" t="s">
        <v>6</v>
      </c>
    </row>
    <row r="773" spans="1:5" ht="15" hidden="1" x14ac:dyDescent="0.25">
      <c r="A773" s="3">
        <v>4698</v>
      </c>
      <c r="B773" s="4" t="s">
        <v>1284</v>
      </c>
      <c r="E773" t="s">
        <v>6</v>
      </c>
    </row>
    <row r="774" spans="1:5" ht="15" hidden="1" x14ac:dyDescent="0.25">
      <c r="A774" s="3">
        <v>4697</v>
      </c>
      <c r="B774" s="4" t="s">
        <v>1285</v>
      </c>
      <c r="E774" t="s">
        <v>6</v>
      </c>
    </row>
    <row r="775" spans="1:5" ht="15" hidden="1" x14ac:dyDescent="0.25">
      <c r="A775" s="3">
        <v>2636</v>
      </c>
      <c r="B775" s="4" t="s">
        <v>709</v>
      </c>
      <c r="C775" t="s">
        <v>14</v>
      </c>
      <c r="E775" t="s">
        <v>6</v>
      </c>
    </row>
    <row r="776" spans="1:5" ht="15" hidden="1" x14ac:dyDescent="0.25">
      <c r="A776" s="3">
        <v>3112</v>
      </c>
      <c r="B776" s="4" t="s">
        <v>710</v>
      </c>
      <c r="C776" t="s">
        <v>14</v>
      </c>
      <c r="E776" t="s">
        <v>6</v>
      </c>
    </row>
    <row r="777" spans="1:5" ht="15" hidden="1" x14ac:dyDescent="0.25">
      <c r="A777" s="3">
        <v>2761</v>
      </c>
      <c r="B777" s="4" t="s">
        <v>711</v>
      </c>
      <c r="C777" t="s">
        <v>14</v>
      </c>
      <c r="E777" t="s">
        <v>6</v>
      </c>
    </row>
    <row r="778" spans="1:5" ht="15" hidden="1" x14ac:dyDescent="0.25">
      <c r="A778" s="3">
        <v>3075</v>
      </c>
      <c r="B778" s="4" t="s">
        <v>712</v>
      </c>
      <c r="C778" t="s">
        <v>14</v>
      </c>
      <c r="E778" t="s">
        <v>6</v>
      </c>
    </row>
    <row r="779" spans="1:5" ht="15" hidden="1" x14ac:dyDescent="0.25">
      <c r="A779" s="3">
        <v>2891</v>
      </c>
      <c r="B779" s="4" t="s">
        <v>713</v>
      </c>
      <c r="C779" t="s">
        <v>14</v>
      </c>
      <c r="E779" t="s">
        <v>6</v>
      </c>
    </row>
    <row r="780" spans="1:5" ht="15" hidden="1" x14ac:dyDescent="0.25">
      <c r="A780" s="3">
        <v>2893</v>
      </c>
      <c r="B780" s="4" t="s">
        <v>714</v>
      </c>
      <c r="C780" t="s">
        <v>14</v>
      </c>
      <c r="E780" t="s">
        <v>6</v>
      </c>
    </row>
    <row r="781" spans="1:5" ht="15" hidden="1" x14ac:dyDescent="0.25">
      <c r="A781" s="3">
        <v>3106</v>
      </c>
      <c r="B781" s="4" t="s">
        <v>715</v>
      </c>
      <c r="C781" t="s">
        <v>14</v>
      </c>
      <c r="E781" t="s">
        <v>6</v>
      </c>
    </row>
    <row r="782" spans="1:5" ht="15" hidden="1" x14ac:dyDescent="0.25">
      <c r="A782" s="3">
        <v>3028</v>
      </c>
      <c r="B782" s="4" t="s">
        <v>716</v>
      </c>
      <c r="C782" t="s">
        <v>14</v>
      </c>
      <c r="E782" t="s">
        <v>6</v>
      </c>
    </row>
    <row r="783" spans="1:5" ht="15" hidden="1" x14ac:dyDescent="0.25">
      <c r="A783" s="3">
        <v>3063</v>
      </c>
      <c r="B783" s="4" t="s">
        <v>717</v>
      </c>
      <c r="C783" t="s">
        <v>14</v>
      </c>
      <c r="E783" t="s">
        <v>6</v>
      </c>
    </row>
    <row r="784" spans="1:5" ht="15" hidden="1" x14ac:dyDescent="0.25">
      <c r="A784" s="3">
        <v>3066</v>
      </c>
      <c r="B784" s="4" t="s">
        <v>718</v>
      </c>
      <c r="C784" t="s">
        <v>14</v>
      </c>
      <c r="E784" t="s">
        <v>6</v>
      </c>
    </row>
    <row r="785" spans="1:5" ht="15" hidden="1" x14ac:dyDescent="0.25">
      <c r="A785" s="3">
        <v>2981</v>
      </c>
      <c r="B785" s="4" t="s">
        <v>719</v>
      </c>
      <c r="C785" t="s">
        <v>14</v>
      </c>
      <c r="E785" t="s">
        <v>6</v>
      </c>
    </row>
    <row r="786" spans="1:5" ht="15" hidden="1" x14ac:dyDescent="0.25">
      <c r="A786" s="3">
        <v>3017</v>
      </c>
      <c r="B786" s="4" t="s">
        <v>720</v>
      </c>
      <c r="C786" t="s">
        <v>14</v>
      </c>
      <c r="E786" t="s">
        <v>6</v>
      </c>
    </row>
    <row r="787" spans="1:5" ht="15" hidden="1" x14ac:dyDescent="0.25">
      <c r="A787" s="3">
        <v>2734</v>
      </c>
      <c r="B787" s="4" t="s">
        <v>721</v>
      </c>
      <c r="C787" t="s">
        <v>14</v>
      </c>
      <c r="E787" t="s">
        <v>6</v>
      </c>
    </row>
    <row r="788" spans="1:5" ht="15" hidden="1" x14ac:dyDescent="0.25">
      <c r="A788" s="3">
        <v>3197</v>
      </c>
      <c r="B788" s="4" t="s">
        <v>722</v>
      </c>
      <c r="C788" t="s">
        <v>14</v>
      </c>
      <c r="E788" t="s">
        <v>6</v>
      </c>
    </row>
    <row r="789" spans="1:5" ht="15" hidden="1" x14ac:dyDescent="0.25">
      <c r="A789" s="3">
        <v>2729</v>
      </c>
      <c r="B789" s="4" t="s">
        <v>723</v>
      </c>
      <c r="C789" t="s">
        <v>14</v>
      </c>
      <c r="E789" t="s">
        <v>6</v>
      </c>
    </row>
    <row r="790" spans="1:5" ht="15" hidden="1" x14ac:dyDescent="0.25">
      <c r="A790" s="3">
        <v>3074</v>
      </c>
      <c r="B790" s="4" t="s">
        <v>724</v>
      </c>
      <c r="C790" t="s">
        <v>14</v>
      </c>
      <c r="E790" t="s">
        <v>6</v>
      </c>
    </row>
    <row r="791" spans="1:5" ht="15" hidden="1" x14ac:dyDescent="0.25">
      <c r="A791" s="3">
        <v>3111</v>
      </c>
      <c r="B791" s="4" t="s">
        <v>725</v>
      </c>
      <c r="C791" t="s">
        <v>14</v>
      </c>
      <c r="E791" t="s">
        <v>6</v>
      </c>
    </row>
    <row r="792" spans="1:5" ht="15" hidden="1" x14ac:dyDescent="0.25">
      <c r="A792" s="3">
        <v>2789</v>
      </c>
      <c r="B792" s="4" t="s">
        <v>726</v>
      </c>
      <c r="C792" t="s">
        <v>14</v>
      </c>
      <c r="E792" t="s">
        <v>6</v>
      </c>
    </row>
    <row r="793" spans="1:5" ht="15" hidden="1" x14ac:dyDescent="0.25">
      <c r="A793" s="3">
        <v>2735</v>
      </c>
      <c r="B793" s="4" t="s">
        <v>727</v>
      </c>
      <c r="C793" t="s">
        <v>14</v>
      </c>
      <c r="E793" t="s">
        <v>6</v>
      </c>
    </row>
    <row r="794" spans="1:5" ht="15" hidden="1" x14ac:dyDescent="0.25">
      <c r="A794" s="3">
        <v>3196</v>
      </c>
      <c r="B794" s="4" t="s">
        <v>728</v>
      </c>
      <c r="C794" t="s">
        <v>14</v>
      </c>
      <c r="E794" t="s">
        <v>6</v>
      </c>
    </row>
    <row r="795" spans="1:5" ht="15" hidden="1" x14ac:dyDescent="0.25">
      <c r="A795" s="3">
        <v>2730</v>
      </c>
      <c r="B795" s="4" t="s">
        <v>729</v>
      </c>
      <c r="C795" t="s">
        <v>14</v>
      </c>
      <c r="E795" t="s">
        <v>6</v>
      </c>
    </row>
    <row r="796" spans="1:5" ht="15" hidden="1" x14ac:dyDescent="0.25">
      <c r="A796" s="3">
        <v>2790</v>
      </c>
      <c r="B796" s="4" t="s">
        <v>730</v>
      </c>
      <c r="C796" t="s">
        <v>14</v>
      </c>
      <c r="E796" t="s">
        <v>6</v>
      </c>
    </row>
    <row r="797" spans="1:5" ht="15" hidden="1" x14ac:dyDescent="0.25">
      <c r="A797" s="3">
        <v>2842</v>
      </c>
      <c r="B797" s="4" t="s">
        <v>731</v>
      </c>
      <c r="C797" t="s">
        <v>14</v>
      </c>
      <c r="E797" t="s">
        <v>6</v>
      </c>
    </row>
    <row r="798" spans="1:5" ht="15" hidden="1" x14ac:dyDescent="0.25">
      <c r="A798" s="3">
        <v>3079</v>
      </c>
      <c r="B798" s="4" t="s">
        <v>732</v>
      </c>
      <c r="C798" t="s">
        <v>14</v>
      </c>
      <c r="E798" t="s">
        <v>6</v>
      </c>
    </row>
    <row r="799" spans="1:5" ht="15" hidden="1" x14ac:dyDescent="0.25">
      <c r="A799" s="3">
        <v>3019</v>
      </c>
      <c r="B799" s="4" t="s">
        <v>733</v>
      </c>
      <c r="C799" t="s">
        <v>14</v>
      </c>
      <c r="E799" t="s">
        <v>6</v>
      </c>
    </row>
    <row r="800" spans="1:5" ht="15" hidden="1" x14ac:dyDescent="0.25">
      <c r="A800" s="3">
        <v>2965</v>
      </c>
      <c r="B800" s="4" t="s">
        <v>734</v>
      </c>
      <c r="C800" t="s">
        <v>14</v>
      </c>
      <c r="E800" t="s">
        <v>6</v>
      </c>
    </row>
    <row r="801" spans="1:5" ht="15" hidden="1" x14ac:dyDescent="0.25">
      <c r="A801" s="3">
        <v>3037</v>
      </c>
      <c r="B801" s="4" t="s">
        <v>735</v>
      </c>
      <c r="C801" t="s">
        <v>14</v>
      </c>
      <c r="E801" t="s">
        <v>6</v>
      </c>
    </row>
    <row r="802" spans="1:5" ht="15" hidden="1" x14ac:dyDescent="0.25">
      <c r="A802" s="3">
        <v>3073</v>
      </c>
      <c r="B802" s="4" t="s">
        <v>736</v>
      </c>
      <c r="C802" t="s">
        <v>14</v>
      </c>
      <c r="E802" t="s">
        <v>6</v>
      </c>
    </row>
    <row r="803" spans="1:5" ht="15" hidden="1" x14ac:dyDescent="0.25">
      <c r="A803" s="3">
        <v>2841</v>
      </c>
      <c r="B803" s="4" t="s">
        <v>737</v>
      </c>
      <c r="C803" t="s">
        <v>14</v>
      </c>
      <c r="E803" t="s">
        <v>6</v>
      </c>
    </row>
    <row r="804" spans="1:5" ht="15" hidden="1" x14ac:dyDescent="0.25">
      <c r="A804" s="3">
        <v>2660</v>
      </c>
      <c r="B804" s="4" t="s">
        <v>738</v>
      </c>
      <c r="C804" t="s">
        <v>14</v>
      </c>
      <c r="E804" t="s">
        <v>6</v>
      </c>
    </row>
    <row r="805" spans="1:5" ht="15" hidden="1" x14ac:dyDescent="0.25">
      <c r="A805" s="3">
        <v>2649</v>
      </c>
      <c r="B805" s="4" t="s">
        <v>739</v>
      </c>
      <c r="C805" t="s">
        <v>14</v>
      </c>
      <c r="E805" t="s">
        <v>6</v>
      </c>
    </row>
    <row r="806" spans="1:5" ht="15" hidden="1" x14ac:dyDescent="0.25">
      <c r="A806" s="3">
        <v>3180</v>
      </c>
      <c r="B806" s="4" t="s">
        <v>740</v>
      </c>
      <c r="C806" t="s">
        <v>14</v>
      </c>
      <c r="E806" t="s">
        <v>6</v>
      </c>
    </row>
    <row r="807" spans="1:5" ht="15" hidden="1" x14ac:dyDescent="0.25">
      <c r="A807" s="3">
        <v>4633</v>
      </c>
      <c r="B807" s="4" t="s">
        <v>1286</v>
      </c>
      <c r="E807" t="s">
        <v>6</v>
      </c>
    </row>
    <row r="808" spans="1:5" ht="15" hidden="1" x14ac:dyDescent="0.25">
      <c r="A808" s="3">
        <v>3179</v>
      </c>
      <c r="B808" s="4" t="s">
        <v>741</v>
      </c>
      <c r="C808" t="s">
        <v>14</v>
      </c>
      <c r="E808" t="s">
        <v>6</v>
      </c>
    </row>
    <row r="809" spans="1:5" ht="15" hidden="1" x14ac:dyDescent="0.25">
      <c r="A809" s="3">
        <v>4634</v>
      </c>
      <c r="B809" s="4" t="s">
        <v>1287</v>
      </c>
      <c r="E809" t="s">
        <v>6</v>
      </c>
    </row>
    <row r="810" spans="1:5" ht="15" hidden="1" x14ac:dyDescent="0.25">
      <c r="A810" s="3">
        <v>2757</v>
      </c>
      <c r="B810" s="4" t="s">
        <v>742</v>
      </c>
      <c r="C810" t="s">
        <v>14</v>
      </c>
      <c r="E810" t="s">
        <v>6</v>
      </c>
    </row>
    <row r="811" spans="1:5" ht="15" hidden="1" x14ac:dyDescent="0.25">
      <c r="A811" s="3">
        <v>2877</v>
      </c>
      <c r="B811" s="4" t="s">
        <v>743</v>
      </c>
      <c r="C811" t="s">
        <v>14</v>
      </c>
      <c r="E811" t="s">
        <v>6</v>
      </c>
    </row>
    <row r="812" spans="1:5" ht="15" hidden="1" x14ac:dyDescent="0.25">
      <c r="A812" s="3">
        <v>2756</v>
      </c>
      <c r="B812" s="4" t="s">
        <v>744</v>
      </c>
      <c r="C812" t="s">
        <v>14</v>
      </c>
      <c r="E812" t="s">
        <v>6</v>
      </c>
    </row>
    <row r="813" spans="1:5" ht="15" hidden="1" x14ac:dyDescent="0.25">
      <c r="A813" s="3">
        <v>2755</v>
      </c>
      <c r="B813" s="4" t="s">
        <v>745</v>
      </c>
      <c r="C813" t="s">
        <v>14</v>
      </c>
      <c r="E813" t="s">
        <v>6</v>
      </c>
    </row>
    <row r="814" spans="1:5" ht="15" hidden="1" x14ac:dyDescent="0.25">
      <c r="A814" s="3">
        <v>2801</v>
      </c>
      <c r="B814" s="4" t="s">
        <v>746</v>
      </c>
      <c r="C814" t="s">
        <v>14</v>
      </c>
      <c r="E814" t="s">
        <v>6</v>
      </c>
    </row>
    <row r="815" spans="1:5" ht="15" hidden="1" x14ac:dyDescent="0.25">
      <c r="A815" s="3">
        <v>2509</v>
      </c>
      <c r="B815" s="4" t="s">
        <v>747</v>
      </c>
      <c r="C815" t="s">
        <v>14</v>
      </c>
      <c r="E815" t="s">
        <v>6</v>
      </c>
    </row>
    <row r="816" spans="1:5" ht="15" hidden="1" x14ac:dyDescent="0.25">
      <c r="A816" s="3">
        <v>2832</v>
      </c>
      <c r="B816" s="4" t="s">
        <v>748</v>
      </c>
      <c r="C816" t="s">
        <v>14</v>
      </c>
      <c r="E816" t="s">
        <v>6</v>
      </c>
    </row>
    <row r="817" spans="1:5" ht="15" hidden="1" x14ac:dyDescent="0.25">
      <c r="A817" s="3">
        <v>3060</v>
      </c>
      <c r="B817" s="4" t="s">
        <v>749</v>
      </c>
      <c r="C817" t="s">
        <v>14</v>
      </c>
      <c r="E817" t="s">
        <v>6</v>
      </c>
    </row>
    <row r="818" spans="1:5" ht="15" hidden="1" x14ac:dyDescent="0.25">
      <c r="A818" s="3">
        <v>2739</v>
      </c>
      <c r="B818" s="4" t="s">
        <v>750</v>
      </c>
      <c r="C818" t="s">
        <v>14</v>
      </c>
      <c r="E818" t="s">
        <v>6</v>
      </c>
    </row>
    <row r="819" spans="1:5" ht="15" hidden="1" x14ac:dyDescent="0.25">
      <c r="A819" s="3">
        <v>2825</v>
      </c>
      <c r="B819" s="4" t="s">
        <v>751</v>
      </c>
      <c r="C819" t="s">
        <v>14</v>
      </c>
      <c r="E819" t="s">
        <v>6</v>
      </c>
    </row>
    <row r="820" spans="1:5" ht="15" hidden="1" x14ac:dyDescent="0.25">
      <c r="A820" s="3">
        <v>2655</v>
      </c>
      <c r="B820" s="4" t="s">
        <v>752</v>
      </c>
      <c r="C820" t="s">
        <v>14</v>
      </c>
      <c r="E820" t="s">
        <v>6</v>
      </c>
    </row>
    <row r="821" spans="1:5" ht="15" hidden="1" x14ac:dyDescent="0.25">
      <c r="A821" s="3">
        <v>2574</v>
      </c>
      <c r="B821" s="4" t="s">
        <v>753</v>
      </c>
      <c r="C821" t="s">
        <v>14</v>
      </c>
      <c r="E821" t="s">
        <v>6</v>
      </c>
    </row>
    <row r="822" spans="1:5" ht="15" hidden="1" x14ac:dyDescent="0.25">
      <c r="A822" s="3">
        <v>2540</v>
      </c>
      <c r="B822" s="4" t="s">
        <v>754</v>
      </c>
      <c r="C822" t="s">
        <v>14</v>
      </c>
      <c r="E822" t="s">
        <v>6</v>
      </c>
    </row>
    <row r="823" spans="1:5" ht="15" hidden="1" x14ac:dyDescent="0.25">
      <c r="A823" s="3">
        <v>2736</v>
      </c>
      <c r="B823" s="4" t="s">
        <v>755</v>
      </c>
      <c r="C823" t="s">
        <v>14</v>
      </c>
      <c r="E823" t="s">
        <v>6</v>
      </c>
    </row>
    <row r="824" spans="1:5" ht="15" hidden="1" x14ac:dyDescent="0.25">
      <c r="A824" s="3">
        <v>2717</v>
      </c>
      <c r="B824" s="4" t="s">
        <v>756</v>
      </c>
      <c r="C824" t="s">
        <v>14</v>
      </c>
      <c r="E824" t="s">
        <v>6</v>
      </c>
    </row>
    <row r="825" spans="1:5" ht="15" hidden="1" x14ac:dyDescent="0.25">
      <c r="A825" s="3">
        <v>2698</v>
      </c>
      <c r="B825" s="4" t="s">
        <v>757</v>
      </c>
      <c r="C825" t="s">
        <v>14</v>
      </c>
      <c r="E825" t="s">
        <v>6</v>
      </c>
    </row>
    <row r="826" spans="1:5" ht="15" hidden="1" x14ac:dyDescent="0.25">
      <c r="A826" s="3">
        <v>2607</v>
      </c>
      <c r="B826" s="4" t="s">
        <v>758</v>
      </c>
      <c r="C826" t="s">
        <v>14</v>
      </c>
      <c r="E826" t="s">
        <v>6</v>
      </c>
    </row>
    <row r="827" spans="1:5" ht="15" hidden="1" x14ac:dyDescent="0.25">
      <c r="A827" s="3">
        <v>2705</v>
      </c>
      <c r="B827" s="4" t="s">
        <v>759</v>
      </c>
      <c r="C827" t="s">
        <v>14</v>
      </c>
      <c r="E827" t="s">
        <v>6</v>
      </c>
    </row>
    <row r="828" spans="1:5" ht="15" hidden="1" x14ac:dyDescent="0.25">
      <c r="A828" s="3">
        <v>2701</v>
      </c>
      <c r="B828" s="4" t="s">
        <v>760</v>
      </c>
      <c r="C828" t="s">
        <v>14</v>
      </c>
      <c r="E828" t="s">
        <v>6</v>
      </c>
    </row>
    <row r="829" spans="1:5" ht="15" hidden="1" x14ac:dyDescent="0.25">
      <c r="A829" s="3">
        <v>2539</v>
      </c>
      <c r="B829" s="4" t="s">
        <v>761</v>
      </c>
      <c r="C829" t="s">
        <v>14</v>
      </c>
      <c r="E829" t="s">
        <v>6</v>
      </c>
    </row>
    <row r="830" spans="1:5" ht="15" hidden="1" x14ac:dyDescent="0.25">
      <c r="A830" s="3">
        <v>2725</v>
      </c>
      <c r="B830" s="4" t="s">
        <v>762</v>
      </c>
      <c r="C830" t="s">
        <v>14</v>
      </c>
      <c r="E830" t="s">
        <v>6</v>
      </c>
    </row>
    <row r="831" spans="1:5" ht="15" hidden="1" x14ac:dyDescent="0.25">
      <c r="A831" s="3">
        <v>2699</v>
      </c>
      <c r="B831" s="4" t="s">
        <v>763</v>
      </c>
      <c r="C831" t="s">
        <v>14</v>
      </c>
      <c r="E831" t="s">
        <v>6</v>
      </c>
    </row>
    <row r="832" spans="1:5" ht="15" hidden="1" x14ac:dyDescent="0.25">
      <c r="A832" s="3">
        <v>2700</v>
      </c>
      <c r="B832" s="4" t="s">
        <v>764</v>
      </c>
      <c r="C832" t="s">
        <v>14</v>
      </c>
      <c r="E832" t="s">
        <v>6</v>
      </c>
    </row>
    <row r="833" spans="1:5" ht="15" hidden="1" x14ac:dyDescent="0.25">
      <c r="A833" s="3">
        <v>2737</v>
      </c>
      <c r="B833" s="4" t="s">
        <v>765</v>
      </c>
      <c r="C833" t="s">
        <v>14</v>
      </c>
      <c r="E833" t="s">
        <v>6</v>
      </c>
    </row>
    <row r="834" spans="1:5" ht="15" hidden="1" x14ac:dyDescent="0.25">
      <c r="A834" s="3">
        <v>2697</v>
      </c>
      <c r="B834" s="4" t="s">
        <v>766</v>
      </c>
      <c r="C834" t="s">
        <v>14</v>
      </c>
      <c r="E834" t="s">
        <v>6</v>
      </c>
    </row>
    <row r="835" spans="1:5" ht="15" hidden="1" x14ac:dyDescent="0.25">
      <c r="A835" s="3">
        <v>2703</v>
      </c>
      <c r="B835" s="4" t="s">
        <v>767</v>
      </c>
      <c r="C835" t="s">
        <v>14</v>
      </c>
      <c r="E835" t="s">
        <v>6</v>
      </c>
    </row>
    <row r="836" spans="1:5" ht="15" hidden="1" x14ac:dyDescent="0.25">
      <c r="A836" s="3">
        <v>2702</v>
      </c>
      <c r="B836" s="4" t="s">
        <v>768</v>
      </c>
      <c r="C836" t="s">
        <v>14</v>
      </c>
      <c r="E836" t="s">
        <v>6</v>
      </c>
    </row>
    <row r="837" spans="1:5" ht="15" hidden="1" x14ac:dyDescent="0.25">
      <c r="A837" s="3">
        <v>2695</v>
      </c>
      <c r="B837" s="4" t="s">
        <v>769</v>
      </c>
      <c r="C837" t="s">
        <v>14</v>
      </c>
      <c r="E837" t="s">
        <v>6</v>
      </c>
    </row>
    <row r="838" spans="1:5" ht="15" hidden="1" x14ac:dyDescent="0.25">
      <c r="A838" s="3">
        <v>2704</v>
      </c>
      <c r="B838" s="4" t="s">
        <v>770</v>
      </c>
      <c r="C838" t="s">
        <v>14</v>
      </c>
      <c r="E838" t="s">
        <v>6</v>
      </c>
    </row>
    <row r="839" spans="1:5" ht="15" hidden="1" x14ac:dyDescent="0.25">
      <c r="A839" s="3">
        <v>2696</v>
      </c>
      <c r="B839" s="4" t="s">
        <v>771</v>
      </c>
      <c r="C839" t="s">
        <v>14</v>
      </c>
      <c r="E839" t="s">
        <v>6</v>
      </c>
    </row>
    <row r="840" spans="1:5" ht="15" hidden="1" x14ac:dyDescent="0.25">
      <c r="A840" s="3">
        <v>2738</v>
      </c>
      <c r="B840" s="4" t="s">
        <v>772</v>
      </c>
      <c r="C840" t="s">
        <v>14</v>
      </c>
      <c r="E840" t="s">
        <v>6</v>
      </c>
    </row>
    <row r="841" spans="1:5" ht="15" hidden="1" x14ac:dyDescent="0.25">
      <c r="A841" s="3">
        <v>2745</v>
      </c>
      <c r="B841" s="4" t="s">
        <v>773</v>
      </c>
      <c r="C841" t="s">
        <v>14</v>
      </c>
      <c r="E841" t="s">
        <v>6</v>
      </c>
    </row>
    <row r="842" spans="1:5" ht="15" hidden="1" x14ac:dyDescent="0.25">
      <c r="A842" s="3">
        <v>2775</v>
      </c>
      <c r="B842" s="4" t="s">
        <v>774</v>
      </c>
      <c r="C842" t="s">
        <v>14</v>
      </c>
      <c r="E842" t="s">
        <v>6</v>
      </c>
    </row>
    <row r="843" spans="1:5" ht="15" hidden="1" x14ac:dyDescent="0.25">
      <c r="A843" s="3">
        <v>2774</v>
      </c>
      <c r="B843" s="4" t="s">
        <v>775</v>
      </c>
      <c r="C843" t="s">
        <v>14</v>
      </c>
      <c r="E843" t="s">
        <v>6</v>
      </c>
    </row>
    <row r="844" spans="1:5" ht="15" hidden="1" x14ac:dyDescent="0.25">
      <c r="A844" s="3">
        <v>2706</v>
      </c>
      <c r="B844" s="4" t="s">
        <v>776</v>
      </c>
      <c r="C844" t="s">
        <v>14</v>
      </c>
      <c r="E844" t="s">
        <v>6</v>
      </c>
    </row>
    <row r="845" spans="1:5" ht="15" hidden="1" x14ac:dyDescent="0.25">
      <c r="A845" s="3">
        <v>2740</v>
      </c>
      <c r="B845" s="4" t="s">
        <v>777</v>
      </c>
      <c r="C845" t="s">
        <v>14</v>
      </c>
      <c r="E845" t="s">
        <v>6</v>
      </c>
    </row>
    <row r="846" spans="1:5" ht="15" hidden="1" x14ac:dyDescent="0.25">
      <c r="A846" s="3">
        <v>2677</v>
      </c>
      <c r="B846" s="4" t="s">
        <v>778</v>
      </c>
      <c r="C846" t="s">
        <v>14</v>
      </c>
      <c r="E846" t="s">
        <v>6</v>
      </c>
    </row>
    <row r="847" spans="1:5" ht="15" hidden="1" x14ac:dyDescent="0.25">
      <c r="A847" s="3">
        <v>2573</v>
      </c>
      <c r="B847" s="4" t="s">
        <v>779</v>
      </c>
      <c r="C847" t="s">
        <v>14</v>
      </c>
      <c r="E847" t="s">
        <v>6</v>
      </c>
    </row>
    <row r="848" spans="1:5" ht="15" hidden="1" x14ac:dyDescent="0.25">
      <c r="A848" s="3">
        <v>2788</v>
      </c>
      <c r="B848" s="4" t="s">
        <v>780</v>
      </c>
      <c r="C848" t="s">
        <v>14</v>
      </c>
      <c r="E848" t="s">
        <v>6</v>
      </c>
    </row>
    <row r="849" spans="1:5" ht="15" hidden="1" x14ac:dyDescent="0.25">
      <c r="A849" s="3">
        <v>2904</v>
      </c>
      <c r="B849" s="4" t="s">
        <v>781</v>
      </c>
      <c r="C849" t="s">
        <v>14</v>
      </c>
      <c r="E849" t="s">
        <v>6</v>
      </c>
    </row>
    <row r="850" spans="1:5" ht="15" hidden="1" x14ac:dyDescent="0.25">
      <c r="A850" s="3">
        <v>3603</v>
      </c>
      <c r="B850" s="4" t="s">
        <v>782</v>
      </c>
      <c r="C850" t="s">
        <v>14</v>
      </c>
      <c r="E850" t="s">
        <v>6</v>
      </c>
    </row>
    <row r="851" spans="1:5" ht="15" hidden="1" x14ac:dyDescent="0.25">
      <c r="A851" s="3">
        <v>3199</v>
      </c>
      <c r="B851" s="4" t="s">
        <v>783</v>
      </c>
      <c r="C851" t="s">
        <v>14</v>
      </c>
      <c r="E851" t="s">
        <v>6</v>
      </c>
    </row>
    <row r="852" spans="1:5" ht="15" hidden="1" x14ac:dyDescent="0.25">
      <c r="A852" s="3">
        <v>3353</v>
      </c>
      <c r="B852" s="4" t="s">
        <v>784</v>
      </c>
      <c r="C852" t="s">
        <v>14</v>
      </c>
      <c r="E852" t="s">
        <v>6</v>
      </c>
    </row>
    <row r="853" spans="1:5" ht="15" hidden="1" x14ac:dyDescent="0.25">
      <c r="A853" s="3">
        <v>2903</v>
      </c>
      <c r="B853" s="4" t="s">
        <v>785</v>
      </c>
      <c r="C853" t="s">
        <v>14</v>
      </c>
      <c r="E853" t="s">
        <v>6</v>
      </c>
    </row>
    <row r="854" spans="1:5" ht="15" hidden="1" x14ac:dyDescent="0.25">
      <c r="A854" s="3">
        <v>2902</v>
      </c>
      <c r="B854" s="4" t="s">
        <v>786</v>
      </c>
      <c r="C854" t="s">
        <v>14</v>
      </c>
      <c r="E854" t="s">
        <v>6</v>
      </c>
    </row>
    <row r="855" spans="1:5" ht="15" hidden="1" x14ac:dyDescent="0.25">
      <c r="A855" s="3">
        <v>2415</v>
      </c>
      <c r="B855" s="4" t="s">
        <v>787</v>
      </c>
      <c r="C855" t="s">
        <v>14</v>
      </c>
      <c r="E855" t="s">
        <v>6</v>
      </c>
    </row>
    <row r="856" spans="1:5" ht="15" hidden="1" x14ac:dyDescent="0.25">
      <c r="A856" s="3">
        <v>2824</v>
      </c>
      <c r="B856" s="4" t="s">
        <v>788</v>
      </c>
      <c r="C856" t="s">
        <v>14</v>
      </c>
      <c r="E856" t="s">
        <v>6</v>
      </c>
    </row>
    <row r="857" spans="1:5" ht="15" hidden="1" x14ac:dyDescent="0.25">
      <c r="A857" s="3">
        <v>2416</v>
      </c>
      <c r="B857" s="4" t="s">
        <v>789</v>
      </c>
      <c r="C857" t="s">
        <v>14</v>
      </c>
      <c r="E857" t="s">
        <v>6</v>
      </c>
    </row>
    <row r="858" spans="1:5" ht="15" hidden="1" x14ac:dyDescent="0.25">
      <c r="A858" s="3">
        <v>3159</v>
      </c>
      <c r="B858" s="4" t="s">
        <v>790</v>
      </c>
      <c r="C858" t="s">
        <v>14</v>
      </c>
      <c r="E858" t="s">
        <v>6</v>
      </c>
    </row>
    <row r="859" spans="1:5" ht="15" hidden="1" x14ac:dyDescent="0.25">
      <c r="A859" s="3">
        <v>3195</v>
      </c>
      <c r="B859" s="4" t="s">
        <v>791</v>
      </c>
      <c r="C859" t="s">
        <v>14</v>
      </c>
      <c r="E859" t="s">
        <v>6</v>
      </c>
    </row>
    <row r="860" spans="1:5" ht="15" hidden="1" x14ac:dyDescent="0.25">
      <c r="A860" s="3">
        <v>2475</v>
      </c>
      <c r="B860" s="4" t="s">
        <v>792</v>
      </c>
      <c r="C860" t="s">
        <v>14</v>
      </c>
      <c r="E860" t="s">
        <v>6</v>
      </c>
    </row>
    <row r="861" spans="1:5" ht="15" hidden="1" x14ac:dyDescent="0.25">
      <c r="A861" s="3">
        <v>2474</v>
      </c>
      <c r="B861" s="4" t="s">
        <v>793</v>
      </c>
      <c r="C861" t="s">
        <v>14</v>
      </c>
      <c r="E861" t="s">
        <v>6</v>
      </c>
    </row>
    <row r="862" spans="1:5" ht="15" hidden="1" x14ac:dyDescent="0.25">
      <c r="A862" s="3">
        <v>3059</v>
      </c>
      <c r="B862" s="4" t="s">
        <v>794</v>
      </c>
      <c r="C862" t="s">
        <v>14</v>
      </c>
      <c r="E862" t="s">
        <v>6</v>
      </c>
    </row>
    <row r="863" spans="1:5" ht="15" hidden="1" x14ac:dyDescent="0.25">
      <c r="A863" s="3">
        <v>2895</v>
      </c>
      <c r="B863" s="4" t="s">
        <v>795</v>
      </c>
      <c r="C863" t="s">
        <v>14</v>
      </c>
      <c r="E863" t="s">
        <v>6</v>
      </c>
    </row>
    <row r="864" spans="1:5" ht="15" hidden="1" x14ac:dyDescent="0.25">
      <c r="A864" s="3">
        <v>3098</v>
      </c>
      <c r="B864" s="4" t="s">
        <v>796</v>
      </c>
      <c r="C864" t="s">
        <v>14</v>
      </c>
      <c r="E864" t="s">
        <v>6</v>
      </c>
    </row>
    <row r="865" spans="1:5" ht="15" hidden="1" x14ac:dyDescent="0.25">
      <c r="A865" s="3">
        <v>2836</v>
      </c>
      <c r="B865" s="4" t="s">
        <v>797</v>
      </c>
      <c r="C865" t="s">
        <v>14</v>
      </c>
      <c r="E865" t="s">
        <v>6</v>
      </c>
    </row>
    <row r="866" spans="1:5" ht="15" hidden="1" x14ac:dyDescent="0.25">
      <c r="A866" s="3">
        <v>3058</v>
      </c>
      <c r="B866" s="4" t="s">
        <v>798</v>
      </c>
      <c r="C866" t="s">
        <v>14</v>
      </c>
      <c r="E866" t="s">
        <v>6</v>
      </c>
    </row>
    <row r="867" spans="1:5" ht="15" hidden="1" x14ac:dyDescent="0.25">
      <c r="A867" s="3">
        <v>2417</v>
      </c>
      <c r="B867" s="4" t="s">
        <v>799</v>
      </c>
      <c r="C867" t="s">
        <v>14</v>
      </c>
      <c r="E867" t="s">
        <v>6</v>
      </c>
    </row>
    <row r="868" spans="1:5" ht="15" hidden="1" x14ac:dyDescent="0.25">
      <c r="A868" s="3">
        <v>2898</v>
      </c>
      <c r="B868" s="4" t="s">
        <v>800</v>
      </c>
      <c r="C868" t="s">
        <v>14</v>
      </c>
      <c r="E868" t="s">
        <v>6</v>
      </c>
    </row>
    <row r="869" spans="1:5" ht="15" hidden="1" x14ac:dyDescent="0.25">
      <c r="A869" s="3">
        <v>3116</v>
      </c>
      <c r="B869" s="4" t="s">
        <v>801</v>
      </c>
      <c r="C869" t="s">
        <v>14</v>
      </c>
      <c r="E869" t="s">
        <v>6</v>
      </c>
    </row>
    <row r="870" spans="1:5" ht="15" hidden="1" x14ac:dyDescent="0.25">
      <c r="A870" s="3">
        <v>3012</v>
      </c>
      <c r="B870" s="4" t="s">
        <v>802</v>
      </c>
      <c r="C870" t="s">
        <v>14</v>
      </c>
      <c r="E870" t="s">
        <v>6</v>
      </c>
    </row>
    <row r="871" spans="1:5" ht="15" hidden="1" x14ac:dyDescent="0.25">
      <c r="A871" s="3">
        <v>2476</v>
      </c>
      <c r="B871" s="4" t="s">
        <v>803</v>
      </c>
      <c r="C871" t="s">
        <v>14</v>
      </c>
      <c r="E871" t="s">
        <v>6</v>
      </c>
    </row>
    <row r="872" spans="1:5" ht="15" hidden="1" x14ac:dyDescent="0.25">
      <c r="A872" s="3">
        <v>2945</v>
      </c>
      <c r="B872" s="4" t="s">
        <v>804</v>
      </c>
      <c r="C872" t="s">
        <v>14</v>
      </c>
      <c r="E872" t="s">
        <v>6</v>
      </c>
    </row>
    <row r="873" spans="1:5" ht="15" hidden="1" x14ac:dyDescent="0.25">
      <c r="A873" s="3">
        <v>3189</v>
      </c>
      <c r="B873" s="4" t="s">
        <v>805</v>
      </c>
      <c r="C873" t="s">
        <v>14</v>
      </c>
      <c r="E873" t="s">
        <v>6</v>
      </c>
    </row>
    <row r="874" spans="1:5" ht="15" hidden="1" x14ac:dyDescent="0.25">
      <c r="A874" s="3">
        <v>3047</v>
      </c>
      <c r="B874" s="4" t="s">
        <v>806</v>
      </c>
      <c r="C874" t="s">
        <v>14</v>
      </c>
      <c r="E874" t="s">
        <v>6</v>
      </c>
    </row>
    <row r="875" spans="1:5" ht="15" hidden="1" x14ac:dyDescent="0.25">
      <c r="A875" s="3">
        <v>3194</v>
      </c>
      <c r="B875" s="4" t="s">
        <v>807</v>
      </c>
      <c r="C875" t="s">
        <v>14</v>
      </c>
      <c r="E875" t="s">
        <v>6</v>
      </c>
    </row>
    <row r="876" spans="1:5" ht="15" hidden="1" x14ac:dyDescent="0.25">
      <c r="A876" s="3">
        <v>3052</v>
      </c>
      <c r="B876" s="4" t="s">
        <v>808</v>
      </c>
      <c r="C876" t="s">
        <v>14</v>
      </c>
      <c r="E876" t="s">
        <v>6</v>
      </c>
    </row>
    <row r="877" spans="1:5" ht="15" hidden="1" x14ac:dyDescent="0.25">
      <c r="A877" s="3">
        <v>3048</v>
      </c>
      <c r="B877" s="4" t="s">
        <v>809</v>
      </c>
      <c r="C877" t="s">
        <v>14</v>
      </c>
      <c r="E877" t="s">
        <v>6</v>
      </c>
    </row>
    <row r="878" spans="1:5" ht="15" hidden="1" x14ac:dyDescent="0.25">
      <c r="A878" s="3">
        <v>2767</v>
      </c>
      <c r="B878" s="4" t="s">
        <v>810</v>
      </c>
      <c r="C878" t="s">
        <v>14</v>
      </c>
      <c r="E878" t="s">
        <v>6</v>
      </c>
    </row>
    <row r="879" spans="1:5" ht="15" hidden="1" x14ac:dyDescent="0.25">
      <c r="A879" s="3">
        <v>3204</v>
      </c>
      <c r="B879" s="4" t="s">
        <v>811</v>
      </c>
      <c r="C879" t="s">
        <v>14</v>
      </c>
      <c r="E879" t="s">
        <v>6</v>
      </c>
    </row>
    <row r="880" spans="1:5" ht="15" hidden="1" x14ac:dyDescent="0.25">
      <c r="A880" s="3">
        <v>2759</v>
      </c>
      <c r="B880" s="4" t="s">
        <v>812</v>
      </c>
      <c r="C880" t="s">
        <v>14</v>
      </c>
      <c r="E880" t="s">
        <v>6</v>
      </c>
    </row>
    <row r="881" spans="1:5" ht="15" hidden="1" x14ac:dyDescent="0.25">
      <c r="A881" s="3">
        <v>3055</v>
      </c>
      <c r="B881" s="4" t="s">
        <v>813</v>
      </c>
      <c r="C881" t="s">
        <v>14</v>
      </c>
      <c r="E881" t="s">
        <v>6</v>
      </c>
    </row>
    <row r="882" spans="1:5" ht="15" hidden="1" x14ac:dyDescent="0.25">
      <c r="A882" s="3">
        <v>2473</v>
      </c>
      <c r="B882" s="4" t="s">
        <v>814</v>
      </c>
      <c r="C882" t="s">
        <v>14</v>
      </c>
      <c r="E882" t="s">
        <v>6</v>
      </c>
    </row>
    <row r="883" spans="1:5" ht="15" hidden="1" x14ac:dyDescent="0.25">
      <c r="A883" s="3">
        <v>2488</v>
      </c>
      <c r="B883" s="4" t="s">
        <v>815</v>
      </c>
      <c r="C883" t="s">
        <v>14</v>
      </c>
      <c r="E883" t="s">
        <v>6</v>
      </c>
    </row>
    <row r="884" spans="1:5" ht="15" hidden="1" x14ac:dyDescent="0.25">
      <c r="A884" s="3">
        <v>3056</v>
      </c>
      <c r="B884" s="4" t="s">
        <v>816</v>
      </c>
      <c r="C884" t="s">
        <v>14</v>
      </c>
      <c r="E884" t="s">
        <v>6</v>
      </c>
    </row>
    <row r="885" spans="1:5" ht="15" hidden="1" x14ac:dyDescent="0.25">
      <c r="A885" s="3">
        <v>3051</v>
      </c>
      <c r="B885" s="4" t="s">
        <v>817</v>
      </c>
      <c r="C885" t="s">
        <v>14</v>
      </c>
      <c r="E885" t="s">
        <v>6</v>
      </c>
    </row>
    <row r="886" spans="1:5" ht="15" hidden="1" x14ac:dyDescent="0.25">
      <c r="A886" s="3">
        <v>3053</v>
      </c>
      <c r="B886" s="4" t="s">
        <v>818</v>
      </c>
      <c r="C886" t="s">
        <v>14</v>
      </c>
      <c r="E886" t="s">
        <v>6</v>
      </c>
    </row>
    <row r="887" spans="1:5" ht="15" hidden="1" x14ac:dyDescent="0.25">
      <c r="A887" s="3">
        <v>2769</v>
      </c>
      <c r="B887" s="4" t="s">
        <v>819</v>
      </c>
      <c r="C887" t="s">
        <v>14</v>
      </c>
      <c r="E887" t="s">
        <v>6</v>
      </c>
    </row>
    <row r="888" spans="1:5" ht="15" hidden="1" x14ac:dyDescent="0.25">
      <c r="A888" s="3">
        <v>3049</v>
      </c>
      <c r="B888" s="4" t="s">
        <v>820</v>
      </c>
      <c r="C888" t="s">
        <v>14</v>
      </c>
      <c r="E888" t="s">
        <v>6</v>
      </c>
    </row>
    <row r="889" spans="1:5" ht="15" hidden="1" x14ac:dyDescent="0.25">
      <c r="A889" s="3">
        <v>3057</v>
      </c>
      <c r="B889" s="4" t="s">
        <v>821</v>
      </c>
      <c r="C889" t="s">
        <v>14</v>
      </c>
      <c r="E889" t="s">
        <v>6</v>
      </c>
    </row>
    <row r="890" spans="1:5" ht="15" hidden="1" x14ac:dyDescent="0.25">
      <c r="A890" s="3">
        <v>2905</v>
      </c>
      <c r="B890" s="4" t="s">
        <v>822</v>
      </c>
      <c r="C890" t="s">
        <v>14</v>
      </c>
      <c r="E890" t="s">
        <v>6</v>
      </c>
    </row>
    <row r="891" spans="1:5" ht="15" hidden="1" x14ac:dyDescent="0.25">
      <c r="A891" s="3">
        <v>2418</v>
      </c>
      <c r="B891" s="4" t="s">
        <v>823</v>
      </c>
      <c r="C891" t="s">
        <v>14</v>
      </c>
      <c r="E891" t="s">
        <v>6</v>
      </c>
    </row>
    <row r="892" spans="1:5" ht="15" hidden="1" x14ac:dyDescent="0.25">
      <c r="A892" s="3">
        <v>2419</v>
      </c>
      <c r="B892" s="4" t="s">
        <v>824</v>
      </c>
      <c r="C892" t="s">
        <v>14</v>
      </c>
      <c r="E892" t="s">
        <v>6</v>
      </c>
    </row>
    <row r="893" spans="1:5" ht="15" hidden="1" x14ac:dyDescent="0.25">
      <c r="A893" s="3">
        <v>2758</v>
      </c>
      <c r="B893" s="4" t="s">
        <v>825</v>
      </c>
      <c r="C893" t="s">
        <v>14</v>
      </c>
      <c r="E893" t="s">
        <v>6</v>
      </c>
    </row>
    <row r="894" spans="1:5" ht="15" hidden="1" x14ac:dyDescent="0.25">
      <c r="A894" s="3">
        <v>3050</v>
      </c>
      <c r="B894" s="4" t="s">
        <v>826</v>
      </c>
      <c r="C894" t="s">
        <v>14</v>
      </c>
      <c r="E894" t="s">
        <v>6</v>
      </c>
    </row>
    <row r="895" spans="1:5" ht="15" hidden="1" x14ac:dyDescent="0.25">
      <c r="A895" s="3">
        <v>3046</v>
      </c>
      <c r="B895" s="4" t="s">
        <v>827</v>
      </c>
      <c r="C895" t="s">
        <v>14</v>
      </c>
      <c r="E895" t="s">
        <v>6</v>
      </c>
    </row>
    <row r="896" spans="1:5" ht="15" hidden="1" x14ac:dyDescent="0.25">
      <c r="A896" s="3">
        <v>3054</v>
      </c>
      <c r="B896" s="4" t="s">
        <v>828</v>
      </c>
      <c r="C896" t="s">
        <v>14</v>
      </c>
      <c r="E896" t="s">
        <v>6</v>
      </c>
    </row>
    <row r="897" spans="1:5" ht="15" hidden="1" x14ac:dyDescent="0.25">
      <c r="A897" s="3">
        <v>2669</v>
      </c>
      <c r="B897" s="4" t="s">
        <v>829</v>
      </c>
      <c r="C897" t="s">
        <v>14</v>
      </c>
      <c r="E897" t="s">
        <v>6</v>
      </c>
    </row>
    <row r="898" spans="1:5" ht="15" hidden="1" x14ac:dyDescent="0.25">
      <c r="A898" s="3">
        <v>2535</v>
      </c>
      <c r="B898" s="4" t="s">
        <v>830</v>
      </c>
      <c r="C898" t="s">
        <v>14</v>
      </c>
      <c r="E898" t="s">
        <v>6</v>
      </c>
    </row>
    <row r="899" spans="1:5" ht="15" hidden="1" x14ac:dyDescent="0.25">
      <c r="A899" s="3">
        <v>2569</v>
      </c>
      <c r="B899" s="4" t="s">
        <v>831</v>
      </c>
      <c r="C899" t="s">
        <v>14</v>
      </c>
      <c r="E899" t="s">
        <v>6</v>
      </c>
    </row>
    <row r="900" spans="1:5" ht="15" hidden="1" x14ac:dyDescent="0.25">
      <c r="A900" s="3">
        <v>3016</v>
      </c>
      <c r="B900" s="4" t="s">
        <v>832</v>
      </c>
      <c r="C900" t="s">
        <v>14</v>
      </c>
      <c r="E900" t="s">
        <v>6</v>
      </c>
    </row>
    <row r="901" spans="1:5" ht="15" hidden="1" x14ac:dyDescent="0.25">
      <c r="A901" s="3">
        <v>2616</v>
      </c>
      <c r="B901" s="4" t="s">
        <v>833</v>
      </c>
      <c r="C901" t="s">
        <v>14</v>
      </c>
      <c r="E901" t="s">
        <v>6</v>
      </c>
    </row>
    <row r="902" spans="1:5" ht="15" hidden="1" x14ac:dyDescent="0.25">
      <c r="A902" s="3">
        <v>2983</v>
      </c>
      <c r="B902" s="4" t="s">
        <v>834</v>
      </c>
      <c r="C902" t="s">
        <v>14</v>
      </c>
      <c r="E902" t="s">
        <v>6</v>
      </c>
    </row>
    <row r="903" spans="1:5" ht="15" hidden="1" x14ac:dyDescent="0.25">
      <c r="A903" s="3">
        <v>3033</v>
      </c>
      <c r="B903" s="4" t="s">
        <v>835</v>
      </c>
      <c r="C903" t="s">
        <v>14</v>
      </c>
      <c r="E903" t="s">
        <v>6</v>
      </c>
    </row>
    <row r="904" spans="1:5" ht="15" hidden="1" x14ac:dyDescent="0.25">
      <c r="A904" s="3">
        <v>2668</v>
      </c>
      <c r="B904" s="4" t="s">
        <v>836</v>
      </c>
      <c r="C904" t="s">
        <v>14</v>
      </c>
      <c r="E904" t="s">
        <v>6</v>
      </c>
    </row>
    <row r="905" spans="1:5" ht="15" hidden="1" x14ac:dyDescent="0.25">
      <c r="A905" s="3">
        <v>2870</v>
      </c>
      <c r="B905" s="4" t="s">
        <v>837</v>
      </c>
      <c r="C905" t="s">
        <v>14</v>
      </c>
      <c r="E905" t="s">
        <v>6</v>
      </c>
    </row>
    <row r="906" spans="1:5" ht="15" hidden="1" x14ac:dyDescent="0.25">
      <c r="A906" s="3">
        <v>2691</v>
      </c>
      <c r="B906" s="4" t="s">
        <v>838</v>
      </c>
      <c r="C906" t="s">
        <v>14</v>
      </c>
      <c r="E906" t="s">
        <v>6</v>
      </c>
    </row>
    <row r="907" spans="1:5" ht="15" hidden="1" x14ac:dyDescent="0.25">
      <c r="A907" s="3">
        <v>3206</v>
      </c>
      <c r="B907" s="4" t="s">
        <v>839</v>
      </c>
      <c r="C907" t="s">
        <v>14</v>
      </c>
      <c r="E907" t="s">
        <v>6</v>
      </c>
    </row>
    <row r="908" spans="1:5" ht="15" hidden="1" x14ac:dyDescent="0.25">
      <c r="A908" s="3">
        <v>2690</v>
      </c>
      <c r="B908" s="4" t="s">
        <v>840</v>
      </c>
      <c r="C908" t="s">
        <v>14</v>
      </c>
      <c r="E908" t="s">
        <v>6</v>
      </c>
    </row>
    <row r="909" spans="1:5" ht="15" hidden="1" x14ac:dyDescent="0.25">
      <c r="A909" s="3">
        <v>3118</v>
      </c>
      <c r="B909" s="4" t="s">
        <v>841</v>
      </c>
      <c r="C909" t="s">
        <v>14</v>
      </c>
      <c r="E909" t="s">
        <v>6</v>
      </c>
    </row>
    <row r="910" spans="1:5" ht="15" hidden="1" x14ac:dyDescent="0.25">
      <c r="A910" s="3">
        <v>2638</v>
      </c>
      <c r="B910" s="4" t="s">
        <v>842</v>
      </c>
      <c r="C910" t="s">
        <v>14</v>
      </c>
      <c r="E910" t="s">
        <v>6</v>
      </c>
    </row>
    <row r="911" spans="1:5" ht="15" hidden="1" x14ac:dyDescent="0.25">
      <c r="A911" s="3">
        <v>2970</v>
      </c>
      <c r="B911" s="4" t="s">
        <v>843</v>
      </c>
      <c r="C911" t="s">
        <v>14</v>
      </c>
      <c r="E911" t="s">
        <v>6</v>
      </c>
    </row>
    <row r="912" spans="1:5" ht="15" hidden="1" x14ac:dyDescent="0.25">
      <c r="A912" s="3">
        <v>3119</v>
      </c>
      <c r="B912" s="4" t="s">
        <v>844</v>
      </c>
      <c r="C912" t="s">
        <v>14</v>
      </c>
      <c r="E912" t="s">
        <v>6</v>
      </c>
    </row>
    <row r="913" spans="1:5" ht="15" hidden="1" x14ac:dyDescent="0.25">
      <c r="A913" s="3">
        <v>2678</v>
      </c>
      <c r="B913" s="4" t="s">
        <v>845</v>
      </c>
      <c r="C913" t="s">
        <v>14</v>
      </c>
      <c r="E913" t="s">
        <v>6</v>
      </c>
    </row>
    <row r="914" spans="1:5" ht="15" hidden="1" x14ac:dyDescent="0.25">
      <c r="A914" s="3">
        <v>2658</v>
      </c>
      <c r="B914" s="4" t="s">
        <v>846</v>
      </c>
      <c r="C914" t="s">
        <v>14</v>
      </c>
      <c r="E914" t="s">
        <v>6</v>
      </c>
    </row>
    <row r="915" spans="1:5" ht="15" hidden="1" x14ac:dyDescent="0.25">
      <c r="A915" s="3">
        <v>3207</v>
      </c>
      <c r="B915" s="4" t="s">
        <v>847</v>
      </c>
      <c r="C915" t="s">
        <v>14</v>
      </c>
      <c r="E915" t="s">
        <v>6</v>
      </c>
    </row>
    <row r="916" spans="1:5" ht="15" hidden="1" x14ac:dyDescent="0.25">
      <c r="A916" s="3">
        <v>2443</v>
      </c>
      <c r="B916" s="4" t="s">
        <v>848</v>
      </c>
      <c r="C916" t="s">
        <v>14</v>
      </c>
      <c r="E916" t="s">
        <v>6</v>
      </c>
    </row>
    <row r="917" spans="1:5" ht="15" hidden="1" x14ac:dyDescent="0.25">
      <c r="A917" s="3">
        <v>2639</v>
      </c>
      <c r="B917" s="4" t="s">
        <v>849</v>
      </c>
      <c r="C917" t="s">
        <v>14</v>
      </c>
      <c r="E917" t="s">
        <v>6</v>
      </c>
    </row>
    <row r="918" spans="1:5" ht="15" hidden="1" x14ac:dyDescent="0.25">
      <c r="A918" s="3">
        <v>2785</v>
      </c>
      <c r="B918" s="4" t="s">
        <v>850</v>
      </c>
      <c r="C918" t="s">
        <v>14</v>
      </c>
      <c r="E918" t="s">
        <v>6</v>
      </c>
    </row>
    <row r="919" spans="1:5" ht="15" hidden="1" x14ac:dyDescent="0.25">
      <c r="A919" s="3">
        <v>3201</v>
      </c>
      <c r="B919" s="4" t="s">
        <v>851</v>
      </c>
      <c r="C919" t="s">
        <v>14</v>
      </c>
      <c r="E919" t="s">
        <v>6</v>
      </c>
    </row>
    <row r="920" spans="1:5" ht="15" hidden="1" x14ac:dyDescent="0.25">
      <c r="A920" s="3">
        <v>2985</v>
      </c>
      <c r="B920" s="4" t="s">
        <v>852</v>
      </c>
      <c r="C920" t="s">
        <v>14</v>
      </c>
      <c r="E920" t="s">
        <v>6</v>
      </c>
    </row>
    <row r="921" spans="1:5" ht="15" hidden="1" x14ac:dyDescent="0.25">
      <c r="A921" s="3">
        <v>2766</v>
      </c>
      <c r="B921" s="4" t="s">
        <v>853</v>
      </c>
      <c r="C921" t="s">
        <v>14</v>
      </c>
      <c r="E921" t="s">
        <v>6</v>
      </c>
    </row>
    <row r="922" spans="1:5" ht="15" hidden="1" x14ac:dyDescent="0.25">
      <c r="A922" s="3">
        <v>2768</v>
      </c>
      <c r="B922" s="4" t="s">
        <v>854</v>
      </c>
      <c r="C922" t="s">
        <v>14</v>
      </c>
      <c r="E922" t="s">
        <v>6</v>
      </c>
    </row>
    <row r="923" spans="1:5" ht="15" hidden="1" x14ac:dyDescent="0.25">
      <c r="A923" s="3">
        <v>2906</v>
      </c>
      <c r="B923" s="4" t="s">
        <v>855</v>
      </c>
      <c r="C923" t="s">
        <v>14</v>
      </c>
      <c r="E923" t="s">
        <v>6</v>
      </c>
    </row>
    <row r="924" spans="1:5" ht="15" hidden="1" x14ac:dyDescent="0.25">
      <c r="A924" s="3">
        <v>2453</v>
      </c>
      <c r="B924" s="4" t="s">
        <v>856</v>
      </c>
      <c r="C924" t="s">
        <v>14</v>
      </c>
      <c r="E924" t="s">
        <v>6</v>
      </c>
    </row>
    <row r="925" spans="1:5" ht="15" hidden="1" x14ac:dyDescent="0.25">
      <c r="A925" s="3">
        <v>3246</v>
      </c>
      <c r="B925" s="4" t="s">
        <v>857</v>
      </c>
      <c r="C925" t="s">
        <v>14</v>
      </c>
      <c r="E925" t="s">
        <v>6</v>
      </c>
    </row>
    <row r="926" spans="1:5" ht="15" hidden="1" x14ac:dyDescent="0.25">
      <c r="A926" s="3">
        <v>2544</v>
      </c>
      <c r="B926" s="4" t="s">
        <v>858</v>
      </c>
      <c r="C926" t="s">
        <v>14</v>
      </c>
      <c r="E926" t="s">
        <v>6</v>
      </c>
    </row>
    <row r="927" spans="1:5" ht="15" hidden="1" x14ac:dyDescent="0.25">
      <c r="A927" s="3">
        <v>2434</v>
      </c>
      <c r="B927" s="4" t="s">
        <v>859</v>
      </c>
      <c r="C927" t="s">
        <v>14</v>
      </c>
      <c r="E927" t="s">
        <v>6</v>
      </c>
    </row>
    <row r="928" spans="1:5" ht="15" hidden="1" x14ac:dyDescent="0.25">
      <c r="A928" s="3">
        <v>3227</v>
      </c>
      <c r="B928" s="4" t="s">
        <v>860</v>
      </c>
      <c r="C928" t="s">
        <v>14</v>
      </c>
      <c r="E928" t="s">
        <v>6</v>
      </c>
    </row>
    <row r="929" spans="1:5" ht="15" hidden="1" x14ac:dyDescent="0.25">
      <c r="A929" s="3">
        <v>2670</v>
      </c>
      <c r="B929" s="4" t="s">
        <v>861</v>
      </c>
      <c r="C929" t="s">
        <v>14</v>
      </c>
      <c r="E929" t="s">
        <v>6</v>
      </c>
    </row>
    <row r="930" spans="1:5" ht="15" hidden="1" x14ac:dyDescent="0.25">
      <c r="A930" s="3">
        <v>2708</v>
      </c>
      <c r="B930" s="4" t="s">
        <v>862</v>
      </c>
      <c r="C930" t="s">
        <v>14</v>
      </c>
      <c r="E930" t="s">
        <v>6</v>
      </c>
    </row>
    <row r="931" spans="1:5" ht="15" hidden="1" x14ac:dyDescent="0.25">
      <c r="A931" s="3">
        <v>3205</v>
      </c>
      <c r="B931" s="4" t="s">
        <v>863</v>
      </c>
      <c r="C931" t="s">
        <v>14</v>
      </c>
      <c r="E931" t="s">
        <v>6</v>
      </c>
    </row>
    <row r="932" spans="1:5" ht="15" hidden="1" x14ac:dyDescent="0.25">
      <c r="A932" s="3">
        <v>3228</v>
      </c>
      <c r="B932" s="4" t="s">
        <v>864</v>
      </c>
      <c r="C932" t="s">
        <v>14</v>
      </c>
      <c r="E932" t="s">
        <v>6</v>
      </c>
    </row>
    <row r="933" spans="1:5" ht="15" hidden="1" x14ac:dyDescent="0.25">
      <c r="A933" s="3">
        <v>2876</v>
      </c>
      <c r="B933" s="4" t="s">
        <v>865</v>
      </c>
      <c r="C933" t="s">
        <v>14</v>
      </c>
      <c r="E933" t="s">
        <v>6</v>
      </c>
    </row>
    <row r="934" spans="1:5" ht="15" hidden="1" x14ac:dyDescent="0.25">
      <c r="A934" s="3">
        <v>2692</v>
      </c>
      <c r="B934" s="4" t="s">
        <v>866</v>
      </c>
      <c r="C934" t="s">
        <v>14</v>
      </c>
      <c r="E934" t="s">
        <v>6</v>
      </c>
    </row>
    <row r="935" spans="1:5" ht="15" hidden="1" x14ac:dyDescent="0.25">
      <c r="A935" s="3">
        <v>2543</v>
      </c>
      <c r="B935" s="4" t="s">
        <v>867</v>
      </c>
      <c r="C935" t="s">
        <v>14</v>
      </c>
      <c r="E935" t="s">
        <v>6</v>
      </c>
    </row>
    <row r="936" spans="1:5" ht="15" hidden="1" x14ac:dyDescent="0.25">
      <c r="A936" s="3">
        <v>2433</v>
      </c>
      <c r="B936" s="4" t="s">
        <v>868</v>
      </c>
      <c r="C936" t="s">
        <v>14</v>
      </c>
      <c r="E936" t="s">
        <v>6</v>
      </c>
    </row>
    <row r="937" spans="1:5" ht="15" hidden="1" x14ac:dyDescent="0.25">
      <c r="A937" s="3">
        <v>3034</v>
      </c>
      <c r="B937" s="4" t="s">
        <v>869</v>
      </c>
      <c r="C937" t="s">
        <v>14</v>
      </c>
      <c r="E937" t="s">
        <v>6</v>
      </c>
    </row>
    <row r="938" spans="1:5" ht="15" hidden="1" x14ac:dyDescent="0.25">
      <c r="A938" s="3">
        <v>3038</v>
      </c>
      <c r="B938" s="4" t="s">
        <v>870</v>
      </c>
      <c r="C938" t="s">
        <v>14</v>
      </c>
      <c r="E938" t="s">
        <v>6</v>
      </c>
    </row>
    <row r="939" spans="1:5" ht="15" hidden="1" x14ac:dyDescent="0.25">
      <c r="A939" s="3">
        <v>2693</v>
      </c>
      <c r="B939" s="4" t="s">
        <v>871</v>
      </c>
      <c r="C939" t="s">
        <v>14</v>
      </c>
      <c r="E939" t="s">
        <v>6</v>
      </c>
    </row>
    <row r="940" spans="1:5" ht="15" hidden="1" x14ac:dyDescent="0.25">
      <c r="A940" s="3">
        <v>3072</v>
      </c>
      <c r="B940" s="4" t="s">
        <v>872</v>
      </c>
      <c r="C940" t="s">
        <v>14</v>
      </c>
      <c r="E940" t="s">
        <v>6</v>
      </c>
    </row>
    <row r="941" spans="1:5" ht="15" hidden="1" x14ac:dyDescent="0.25">
      <c r="A941" s="3">
        <v>2694</v>
      </c>
      <c r="B941" s="4" t="s">
        <v>873</v>
      </c>
      <c r="C941" t="s">
        <v>14</v>
      </c>
      <c r="E941" t="s">
        <v>6</v>
      </c>
    </row>
    <row r="942" spans="1:5" ht="15" hidden="1" x14ac:dyDescent="0.25">
      <c r="A942" s="3">
        <v>3231</v>
      </c>
      <c r="B942" s="4" t="s">
        <v>874</v>
      </c>
      <c r="C942" t="s">
        <v>14</v>
      </c>
      <c r="E942" t="s">
        <v>6</v>
      </c>
    </row>
    <row r="943" spans="1:5" ht="15" hidden="1" x14ac:dyDescent="0.25">
      <c r="A943" s="3">
        <v>2802</v>
      </c>
      <c r="B943" s="4" t="s">
        <v>875</v>
      </c>
      <c r="C943" t="s">
        <v>14</v>
      </c>
      <c r="E943" t="s">
        <v>6</v>
      </c>
    </row>
    <row r="944" spans="1:5" ht="15" hidden="1" x14ac:dyDescent="0.25">
      <c r="A944" s="3">
        <v>2452</v>
      </c>
      <c r="B944" s="4" t="s">
        <v>876</v>
      </c>
      <c r="C944" t="s">
        <v>14</v>
      </c>
      <c r="E944" t="s">
        <v>6</v>
      </c>
    </row>
    <row r="945" spans="1:5" ht="15" hidden="1" x14ac:dyDescent="0.25">
      <c r="A945" s="3">
        <v>3110</v>
      </c>
      <c r="B945" s="4" t="s">
        <v>877</v>
      </c>
      <c r="C945" t="s">
        <v>14</v>
      </c>
      <c r="E945" t="s">
        <v>6</v>
      </c>
    </row>
    <row r="946" spans="1:5" ht="15" hidden="1" x14ac:dyDescent="0.25">
      <c r="A946" s="3">
        <v>2685</v>
      </c>
      <c r="B946" s="4" t="s">
        <v>878</v>
      </c>
      <c r="C946" t="s">
        <v>14</v>
      </c>
      <c r="E946" t="s">
        <v>6</v>
      </c>
    </row>
    <row r="947" spans="1:5" ht="15" hidden="1" x14ac:dyDescent="0.25">
      <c r="A947" s="3">
        <v>2794</v>
      </c>
      <c r="B947" s="4" t="s">
        <v>879</v>
      </c>
      <c r="C947" t="s">
        <v>14</v>
      </c>
      <c r="E947" t="s">
        <v>6</v>
      </c>
    </row>
    <row r="948" spans="1:5" ht="15" hidden="1" x14ac:dyDescent="0.25">
      <c r="A948" s="3">
        <v>2686</v>
      </c>
      <c r="B948" s="4" t="s">
        <v>880</v>
      </c>
      <c r="C948" t="s">
        <v>14</v>
      </c>
      <c r="E948" t="s">
        <v>6</v>
      </c>
    </row>
    <row r="949" spans="1:5" ht="15" hidden="1" x14ac:dyDescent="0.25">
      <c r="A949" s="3">
        <v>945560000000215</v>
      </c>
      <c r="B949" s="4" t="s">
        <v>880</v>
      </c>
      <c r="C949" t="s">
        <v>14</v>
      </c>
      <c r="E949" t="s">
        <v>6</v>
      </c>
    </row>
    <row r="950" spans="1:5" ht="15" hidden="1" x14ac:dyDescent="0.25">
      <c r="A950" s="3">
        <v>3045</v>
      </c>
      <c r="B950" s="4" t="s">
        <v>881</v>
      </c>
      <c r="C950" t="s">
        <v>14</v>
      </c>
      <c r="E950" t="s">
        <v>6</v>
      </c>
    </row>
    <row r="951" spans="1:5" ht="15" hidden="1" x14ac:dyDescent="0.25">
      <c r="A951" s="3">
        <v>2820</v>
      </c>
      <c r="B951" s="4" t="s">
        <v>882</v>
      </c>
      <c r="C951" t="s">
        <v>14</v>
      </c>
      <c r="E951" t="s">
        <v>6</v>
      </c>
    </row>
    <row r="952" spans="1:5" ht="15" hidden="1" x14ac:dyDescent="0.25">
      <c r="A952" s="3">
        <v>3247</v>
      </c>
      <c r="B952" s="4" t="s">
        <v>883</v>
      </c>
      <c r="C952" t="s">
        <v>14</v>
      </c>
      <c r="E952" t="s">
        <v>6</v>
      </c>
    </row>
    <row r="953" spans="1:5" ht="15" hidden="1" x14ac:dyDescent="0.25">
      <c r="A953" s="3">
        <v>2949</v>
      </c>
      <c r="B953" s="4" t="s">
        <v>884</v>
      </c>
      <c r="C953" t="s">
        <v>14</v>
      </c>
      <c r="E953" t="s">
        <v>6</v>
      </c>
    </row>
    <row r="954" spans="1:5" ht="15" hidden="1" x14ac:dyDescent="0.25">
      <c r="A954" s="3">
        <v>3109</v>
      </c>
      <c r="B954" s="4" t="s">
        <v>885</v>
      </c>
      <c r="C954" t="s">
        <v>14</v>
      </c>
      <c r="E954" t="s">
        <v>6</v>
      </c>
    </row>
    <row r="955" spans="1:5" ht="15" hidden="1" x14ac:dyDescent="0.25">
      <c r="A955" s="3">
        <v>2961</v>
      </c>
      <c r="B955" s="4" t="s">
        <v>886</v>
      </c>
      <c r="C955" t="s">
        <v>14</v>
      </c>
      <c r="E955" t="s">
        <v>6</v>
      </c>
    </row>
    <row r="956" spans="1:5" ht="15" hidden="1" x14ac:dyDescent="0.25">
      <c r="A956" s="3">
        <v>2793</v>
      </c>
      <c r="B956" s="4" t="s">
        <v>887</v>
      </c>
      <c r="C956" t="s">
        <v>14</v>
      </c>
      <c r="E956" t="s">
        <v>6</v>
      </c>
    </row>
    <row r="957" spans="1:5" ht="15" hidden="1" x14ac:dyDescent="0.25">
      <c r="A957" s="3">
        <v>2821</v>
      </c>
      <c r="B957" s="4" t="s">
        <v>888</v>
      </c>
      <c r="C957" t="s">
        <v>14</v>
      </c>
      <c r="E957" t="s">
        <v>6</v>
      </c>
    </row>
    <row r="958" spans="1:5" ht="15" hidden="1" x14ac:dyDescent="0.25">
      <c r="A958" s="3">
        <v>2689</v>
      </c>
      <c r="B958" s="4" t="s">
        <v>889</v>
      </c>
      <c r="C958" t="s">
        <v>14</v>
      </c>
      <c r="E958" t="s">
        <v>6</v>
      </c>
    </row>
    <row r="959" spans="1:5" ht="15" hidden="1" x14ac:dyDescent="0.25">
      <c r="A959" s="3">
        <v>2490</v>
      </c>
      <c r="B959" s="4" t="s">
        <v>890</v>
      </c>
      <c r="C959" t="s">
        <v>14</v>
      </c>
      <c r="E959" t="s">
        <v>6</v>
      </c>
    </row>
    <row r="960" spans="1:5" ht="15" hidden="1" x14ac:dyDescent="0.25">
      <c r="A960" s="3">
        <v>2621</v>
      </c>
      <c r="B960" s="4" t="s">
        <v>891</v>
      </c>
      <c r="C960" t="s">
        <v>14</v>
      </c>
      <c r="E960" t="s">
        <v>6</v>
      </c>
    </row>
    <row r="961" spans="1:5" ht="15" hidden="1" x14ac:dyDescent="0.25">
      <c r="A961" s="3">
        <v>2719</v>
      </c>
      <c r="B961" s="4" t="s">
        <v>892</v>
      </c>
      <c r="C961" t="s">
        <v>14</v>
      </c>
      <c r="E961" t="s">
        <v>6</v>
      </c>
    </row>
    <row r="962" spans="1:5" ht="15" hidden="1" x14ac:dyDescent="0.25">
      <c r="A962" s="3">
        <v>2448</v>
      </c>
      <c r="B962" s="4" t="s">
        <v>893</v>
      </c>
      <c r="C962" t="s">
        <v>14</v>
      </c>
      <c r="E962" t="s">
        <v>6</v>
      </c>
    </row>
    <row r="963" spans="1:5" ht="15" hidden="1" x14ac:dyDescent="0.25">
      <c r="A963" s="3">
        <v>2864</v>
      </c>
      <c r="B963" s="4" t="s">
        <v>894</v>
      </c>
      <c r="C963" t="s">
        <v>14</v>
      </c>
      <c r="E963" t="s">
        <v>6</v>
      </c>
    </row>
    <row r="964" spans="1:5" ht="15" hidden="1" x14ac:dyDescent="0.25">
      <c r="A964" s="3">
        <v>2750</v>
      </c>
      <c r="B964" s="4" t="s">
        <v>895</v>
      </c>
      <c r="C964" t="s">
        <v>14</v>
      </c>
      <c r="E964" t="s">
        <v>6</v>
      </c>
    </row>
    <row r="965" spans="1:5" ht="15" hidden="1" x14ac:dyDescent="0.25">
      <c r="A965" s="3">
        <v>3025</v>
      </c>
      <c r="B965" s="4" t="s">
        <v>896</v>
      </c>
      <c r="C965" t="s">
        <v>14</v>
      </c>
      <c r="E965" t="s">
        <v>6</v>
      </c>
    </row>
    <row r="966" spans="1:5" ht="15" hidden="1" x14ac:dyDescent="0.25">
      <c r="A966" s="3">
        <v>3043</v>
      </c>
      <c r="B966" s="4" t="s">
        <v>897</v>
      </c>
      <c r="C966" t="s">
        <v>14</v>
      </c>
      <c r="E966" t="s">
        <v>6</v>
      </c>
    </row>
    <row r="967" spans="1:5" ht="15" hidden="1" x14ac:dyDescent="0.25">
      <c r="A967" s="3">
        <v>2951</v>
      </c>
      <c r="B967" s="4" t="s">
        <v>898</v>
      </c>
      <c r="C967" t="s">
        <v>14</v>
      </c>
      <c r="E967" t="s">
        <v>6</v>
      </c>
    </row>
    <row r="968" spans="1:5" ht="15" hidden="1" x14ac:dyDescent="0.25">
      <c r="A968" s="3">
        <v>3520</v>
      </c>
      <c r="B968" s="4" t="s">
        <v>899</v>
      </c>
      <c r="C968" t="s">
        <v>14</v>
      </c>
      <c r="E968" t="s">
        <v>6</v>
      </c>
    </row>
    <row r="969" spans="1:5" ht="15" hidden="1" x14ac:dyDescent="0.25">
      <c r="A969" s="3">
        <v>2489</v>
      </c>
      <c r="B969" s="4" t="s">
        <v>900</v>
      </c>
      <c r="C969" t="s">
        <v>14</v>
      </c>
      <c r="E969" t="s">
        <v>6</v>
      </c>
    </row>
    <row r="970" spans="1:5" ht="15" hidden="1" x14ac:dyDescent="0.25">
      <c r="A970" s="3">
        <v>2967</v>
      </c>
      <c r="B970" s="4" t="s">
        <v>901</v>
      </c>
      <c r="C970" t="s">
        <v>14</v>
      </c>
      <c r="E970" t="s">
        <v>6</v>
      </c>
    </row>
    <row r="971" spans="1:5" ht="15" hidden="1" x14ac:dyDescent="0.25">
      <c r="A971" s="3">
        <v>2822</v>
      </c>
      <c r="B971" s="4" t="s">
        <v>902</v>
      </c>
      <c r="C971" t="s">
        <v>14</v>
      </c>
      <c r="E971" t="s">
        <v>6</v>
      </c>
    </row>
    <row r="972" spans="1:5" ht="15" hidden="1" x14ac:dyDescent="0.25">
      <c r="A972" s="3">
        <v>2854</v>
      </c>
      <c r="B972" s="4" t="s">
        <v>903</v>
      </c>
      <c r="C972" t="s">
        <v>14</v>
      </c>
      <c r="E972" t="s">
        <v>6</v>
      </c>
    </row>
    <row r="973" spans="1:5" ht="15" hidden="1" x14ac:dyDescent="0.25">
      <c r="A973" s="3">
        <v>2718</v>
      </c>
      <c r="B973" s="4" t="s">
        <v>904</v>
      </c>
      <c r="C973" t="s">
        <v>14</v>
      </c>
      <c r="E973" t="s">
        <v>6</v>
      </c>
    </row>
    <row r="974" spans="1:5" ht="15" hidden="1" x14ac:dyDescent="0.25">
      <c r="A974" s="3">
        <v>2683</v>
      </c>
      <c r="B974" s="4" t="s">
        <v>905</v>
      </c>
      <c r="C974" t="s">
        <v>14</v>
      </c>
      <c r="E974" t="s">
        <v>6</v>
      </c>
    </row>
    <row r="975" spans="1:5" ht="15" hidden="1" x14ac:dyDescent="0.25">
      <c r="A975" s="3">
        <v>2687</v>
      </c>
      <c r="B975" s="4" t="s">
        <v>906</v>
      </c>
      <c r="C975" t="s">
        <v>14</v>
      </c>
      <c r="E975" t="s">
        <v>6</v>
      </c>
    </row>
    <row r="976" spans="1:5" ht="15" hidden="1" x14ac:dyDescent="0.25">
      <c r="A976" s="3">
        <v>2863</v>
      </c>
      <c r="B976" s="4" t="s">
        <v>907</v>
      </c>
      <c r="C976" t="s">
        <v>14</v>
      </c>
      <c r="E976" t="s">
        <v>6</v>
      </c>
    </row>
    <row r="977" spans="1:5" ht="15" hidden="1" x14ac:dyDescent="0.25">
      <c r="A977" s="3">
        <v>2751</v>
      </c>
      <c r="B977" s="4" t="s">
        <v>908</v>
      </c>
      <c r="C977" t="s">
        <v>14</v>
      </c>
      <c r="E977" t="s">
        <v>6</v>
      </c>
    </row>
    <row r="978" spans="1:5" ht="15" hidden="1" x14ac:dyDescent="0.25">
      <c r="A978" s="3">
        <v>2449</v>
      </c>
      <c r="B978" s="4" t="s">
        <v>909</v>
      </c>
      <c r="C978" t="s">
        <v>14</v>
      </c>
      <c r="E978" t="s">
        <v>6</v>
      </c>
    </row>
    <row r="979" spans="1:5" ht="15" hidden="1" x14ac:dyDescent="0.25">
      <c r="A979" s="3">
        <v>2472</v>
      </c>
      <c r="B979" s="4" t="s">
        <v>910</v>
      </c>
      <c r="C979" t="s">
        <v>14</v>
      </c>
      <c r="E979" t="s">
        <v>6</v>
      </c>
    </row>
    <row r="980" spans="1:5" ht="15" hidden="1" x14ac:dyDescent="0.25">
      <c r="A980" s="3">
        <v>2855</v>
      </c>
      <c r="B980" s="4" t="s">
        <v>911</v>
      </c>
      <c r="C980" t="s">
        <v>14</v>
      </c>
      <c r="E980" t="s">
        <v>6</v>
      </c>
    </row>
    <row r="981" spans="1:5" ht="15" hidden="1" x14ac:dyDescent="0.25">
      <c r="A981" s="3">
        <v>2861</v>
      </c>
      <c r="B981" s="4" t="s">
        <v>912</v>
      </c>
      <c r="C981" t="s">
        <v>14</v>
      </c>
      <c r="E981" t="s">
        <v>6</v>
      </c>
    </row>
    <row r="982" spans="1:5" ht="15" hidden="1" x14ac:dyDescent="0.25">
      <c r="A982" s="3">
        <v>2950</v>
      </c>
      <c r="B982" s="4" t="s">
        <v>913</v>
      </c>
      <c r="C982" t="s">
        <v>14</v>
      </c>
      <c r="E982" t="s">
        <v>6</v>
      </c>
    </row>
    <row r="983" spans="1:5" ht="15" hidden="1" x14ac:dyDescent="0.25">
      <c r="A983" s="7">
        <v>2682</v>
      </c>
      <c r="B983" s="7" t="s">
        <v>914</v>
      </c>
      <c r="C983" t="s">
        <v>14</v>
      </c>
      <c r="E983" t="s">
        <v>6</v>
      </c>
    </row>
    <row r="984" spans="1:5" ht="15" hidden="1" x14ac:dyDescent="0.25">
      <c r="A984" s="3">
        <v>2688</v>
      </c>
      <c r="B984" s="4" t="s">
        <v>915</v>
      </c>
      <c r="C984" t="s">
        <v>14</v>
      </c>
      <c r="E984" t="s">
        <v>6</v>
      </c>
    </row>
    <row r="985" spans="1:5" ht="15" hidden="1" x14ac:dyDescent="0.25">
      <c r="A985" s="3">
        <v>3178</v>
      </c>
      <c r="B985" s="4" t="s">
        <v>916</v>
      </c>
      <c r="C985" t="s">
        <v>14</v>
      </c>
      <c r="E985" t="s">
        <v>6</v>
      </c>
    </row>
    <row r="986" spans="1:5" ht="15" hidden="1" x14ac:dyDescent="0.25">
      <c r="A986" s="7">
        <v>2749</v>
      </c>
      <c r="B986" s="7" t="s">
        <v>917</v>
      </c>
      <c r="C986" t="s">
        <v>14</v>
      </c>
      <c r="E986" t="s">
        <v>6</v>
      </c>
    </row>
    <row r="987" spans="1:5" ht="15" hidden="1" x14ac:dyDescent="0.25">
      <c r="A987" s="3">
        <v>2612</v>
      </c>
      <c r="B987" s="4" t="s">
        <v>918</v>
      </c>
      <c r="C987" t="s">
        <v>14</v>
      </c>
      <c r="E987" t="s">
        <v>6</v>
      </c>
    </row>
    <row r="988" spans="1:5" ht="15" hidden="1" x14ac:dyDescent="0.25">
      <c r="A988" s="7">
        <v>3251</v>
      </c>
      <c r="B988" s="7" t="s">
        <v>919</v>
      </c>
      <c r="C988" t="s">
        <v>14</v>
      </c>
      <c r="E988" t="s">
        <v>6</v>
      </c>
    </row>
    <row r="989" spans="1:5" ht="15" hidden="1" x14ac:dyDescent="0.25">
      <c r="A989" s="3">
        <v>2770</v>
      </c>
      <c r="B989" s="4" t="s">
        <v>920</v>
      </c>
      <c r="C989" t="s">
        <v>14</v>
      </c>
      <c r="E989" t="s">
        <v>6</v>
      </c>
    </row>
    <row r="990" spans="1:5" ht="15" hidden="1" x14ac:dyDescent="0.25">
      <c r="A990" s="3">
        <v>2940</v>
      </c>
      <c r="B990" s="4" t="s">
        <v>921</v>
      </c>
      <c r="C990" t="s">
        <v>14</v>
      </c>
      <c r="E990" t="s">
        <v>6</v>
      </c>
    </row>
    <row r="991" spans="1:5" ht="15" hidden="1" x14ac:dyDescent="0.25">
      <c r="A991" s="3">
        <v>2866</v>
      </c>
      <c r="B991" s="4" t="s">
        <v>1288</v>
      </c>
      <c r="C991">
        <v>6.3E-2</v>
      </c>
      <c r="E991" t="s">
        <v>6</v>
      </c>
    </row>
    <row r="992" spans="1:5" ht="15" hidden="1" x14ac:dyDescent="0.25">
      <c r="A992" s="3">
        <v>2867</v>
      </c>
      <c r="B992" s="4" t="s">
        <v>922</v>
      </c>
      <c r="C992">
        <v>6.3E-2</v>
      </c>
      <c r="E992" t="s">
        <v>6</v>
      </c>
    </row>
    <row r="993" spans="1:5" ht="15" hidden="1" x14ac:dyDescent="0.25">
      <c r="A993" s="3">
        <v>702867</v>
      </c>
      <c r="B993" s="4" t="s">
        <v>923</v>
      </c>
      <c r="C993">
        <v>6.3E-2</v>
      </c>
      <c r="E993" t="s">
        <v>6</v>
      </c>
    </row>
    <row r="994" spans="1:5" ht="15" hidden="1" x14ac:dyDescent="0.25">
      <c r="A994" s="3">
        <v>702866</v>
      </c>
      <c r="B994" s="4" t="s">
        <v>1289</v>
      </c>
      <c r="C994">
        <v>6.3E-2</v>
      </c>
      <c r="E994" t="s">
        <v>6</v>
      </c>
    </row>
    <row r="995" spans="1:5" ht="15" hidden="1" x14ac:dyDescent="0.25">
      <c r="A995" s="3">
        <v>2228</v>
      </c>
      <c r="B995" s="4" t="s">
        <v>924</v>
      </c>
      <c r="C995">
        <v>6.3E-2</v>
      </c>
      <c r="E995" t="s">
        <v>6</v>
      </c>
    </row>
    <row r="996" spans="1:5" ht="15" hidden="1" x14ac:dyDescent="0.25">
      <c r="A996" s="3">
        <v>702228</v>
      </c>
      <c r="B996" s="4" t="s">
        <v>925</v>
      </c>
      <c r="C996">
        <v>6.3E-2</v>
      </c>
      <c r="E996" t="s">
        <v>6</v>
      </c>
    </row>
    <row r="997" spans="1:5" ht="15" hidden="1" x14ac:dyDescent="0.25">
      <c r="A997" s="8">
        <v>2219</v>
      </c>
      <c r="B997" s="8" t="s">
        <v>1290</v>
      </c>
      <c r="C997">
        <v>6.3E-2</v>
      </c>
      <c r="E997" t="s">
        <v>6</v>
      </c>
    </row>
    <row r="998" spans="1:5" ht="15" hidden="1" x14ac:dyDescent="0.25">
      <c r="A998" s="3">
        <v>702219</v>
      </c>
      <c r="B998" s="4" t="s">
        <v>1291</v>
      </c>
      <c r="C998">
        <v>6.3E-2</v>
      </c>
      <c r="E998" t="s">
        <v>6</v>
      </c>
    </row>
    <row r="999" spans="1:5" ht="15" hidden="1" x14ac:dyDescent="0.25">
      <c r="A999" s="8">
        <v>2538</v>
      </c>
      <c r="B999" s="8" t="s">
        <v>926</v>
      </c>
      <c r="C999">
        <v>6.3E-2</v>
      </c>
      <c r="E999" t="s">
        <v>6</v>
      </c>
    </row>
    <row r="1000" spans="1:5" ht="15" hidden="1" x14ac:dyDescent="0.25">
      <c r="A1000" s="3">
        <v>2493</v>
      </c>
      <c r="B1000" s="4" t="s">
        <v>927</v>
      </c>
      <c r="C1000">
        <v>8.4000000000000005E-2</v>
      </c>
      <c r="E1000" t="s">
        <v>6</v>
      </c>
    </row>
    <row r="1001" spans="1:5" ht="15" hidden="1" x14ac:dyDescent="0.25">
      <c r="A1001" s="3">
        <v>702493</v>
      </c>
      <c r="B1001" s="4" t="s">
        <v>928</v>
      </c>
      <c r="C1001">
        <v>8.4000000000000005E-2</v>
      </c>
      <c r="E1001" t="s">
        <v>6</v>
      </c>
    </row>
    <row r="1002" spans="1:5" ht="15" hidden="1" x14ac:dyDescent="0.25">
      <c r="A1002" s="3">
        <v>2227</v>
      </c>
      <c r="B1002" s="4" t="s">
        <v>929</v>
      </c>
      <c r="C1002">
        <v>8.4000000000000005E-2</v>
      </c>
      <c r="E1002" t="s">
        <v>6</v>
      </c>
    </row>
    <row r="1003" spans="1:5" ht="15" hidden="1" x14ac:dyDescent="0.25">
      <c r="A1003" s="3">
        <v>702227</v>
      </c>
      <c r="B1003" s="4" t="s">
        <v>930</v>
      </c>
      <c r="C1003">
        <v>8.4000000000000005E-2</v>
      </c>
      <c r="E1003" t="s">
        <v>6</v>
      </c>
    </row>
    <row r="1004" spans="1:5" ht="15" hidden="1" x14ac:dyDescent="0.25">
      <c r="A1004" s="3">
        <v>2550</v>
      </c>
      <c r="B1004" s="4" t="s">
        <v>931</v>
      </c>
      <c r="C1004">
        <v>8.4000000000000005E-2</v>
      </c>
      <c r="E1004" t="s">
        <v>6</v>
      </c>
    </row>
    <row r="1005" spans="1:5" ht="15" hidden="1" x14ac:dyDescent="0.25">
      <c r="A1005" s="3">
        <v>2206</v>
      </c>
      <c r="B1005" s="4" t="s">
        <v>1292</v>
      </c>
      <c r="C1005">
        <v>8.4000000000000005E-2</v>
      </c>
      <c r="E1005" t="s">
        <v>6</v>
      </c>
    </row>
    <row r="1006" spans="1:5" ht="15" hidden="1" x14ac:dyDescent="0.25">
      <c r="A1006" s="3">
        <v>702206</v>
      </c>
      <c r="B1006" s="4" t="s">
        <v>1293</v>
      </c>
      <c r="C1006">
        <v>8.4000000000000005E-2</v>
      </c>
      <c r="E1006" t="s">
        <v>6</v>
      </c>
    </row>
    <row r="1007" spans="1:5" ht="15" hidden="1" x14ac:dyDescent="0.25">
      <c r="A1007" s="3">
        <v>2551</v>
      </c>
      <c r="B1007" s="4" t="s">
        <v>932</v>
      </c>
      <c r="C1007">
        <v>9.4E-2</v>
      </c>
      <c r="E1007" t="s">
        <v>6</v>
      </c>
    </row>
    <row r="1008" spans="1:5" ht="15" hidden="1" x14ac:dyDescent="0.25">
      <c r="A1008" s="3">
        <v>2771</v>
      </c>
      <c r="B1008" s="4" t="s">
        <v>933</v>
      </c>
      <c r="C1008">
        <v>9.4E-2</v>
      </c>
      <c r="E1008" t="s">
        <v>6</v>
      </c>
    </row>
    <row r="1009" spans="1:5" ht="15" hidden="1" x14ac:dyDescent="0.25">
      <c r="A1009" s="3">
        <v>2181</v>
      </c>
      <c r="B1009" s="4" t="s">
        <v>1294</v>
      </c>
      <c r="C1009">
        <v>9.4E-2</v>
      </c>
      <c r="E1009" t="s">
        <v>6</v>
      </c>
    </row>
    <row r="1010" spans="1:5" ht="15" hidden="1" x14ac:dyDescent="0.25">
      <c r="A1010" s="3">
        <v>702181</v>
      </c>
      <c r="B1010" s="4" t="s">
        <v>1295</v>
      </c>
      <c r="C1010">
        <v>9.4E-2</v>
      </c>
      <c r="E1010" t="s">
        <v>6</v>
      </c>
    </row>
    <row r="1011" spans="1:5" ht="15" hidden="1" x14ac:dyDescent="0.25">
      <c r="A1011" s="3">
        <v>702771</v>
      </c>
      <c r="B1011" s="4" t="s">
        <v>934</v>
      </c>
      <c r="C1011">
        <v>9.4E-2</v>
      </c>
      <c r="E1011" t="s">
        <v>6</v>
      </c>
    </row>
    <row r="1012" spans="1:5" ht="15" hidden="1" x14ac:dyDescent="0.25">
      <c r="A1012" s="3">
        <v>2195</v>
      </c>
      <c r="B1012" s="4" t="s">
        <v>935</v>
      </c>
      <c r="C1012">
        <v>9.4E-2</v>
      </c>
      <c r="E1012" t="s">
        <v>6</v>
      </c>
    </row>
    <row r="1013" spans="1:5" ht="15" hidden="1" x14ac:dyDescent="0.25">
      <c r="A1013" s="3">
        <v>702195</v>
      </c>
      <c r="B1013" s="4" t="s">
        <v>936</v>
      </c>
      <c r="C1013">
        <v>9.4E-2</v>
      </c>
      <c r="E1013" t="s">
        <v>6</v>
      </c>
    </row>
    <row r="1014" spans="1:5" ht="15" hidden="1" x14ac:dyDescent="0.25">
      <c r="A1014" s="3">
        <v>2379</v>
      </c>
      <c r="B1014" s="4" t="s">
        <v>937</v>
      </c>
      <c r="C1014">
        <v>0.26200000000000001</v>
      </c>
      <c r="E1014" t="s">
        <v>6</v>
      </c>
    </row>
    <row r="1015" spans="1:5" ht="15" hidden="1" x14ac:dyDescent="0.25">
      <c r="A1015" s="3">
        <v>2772</v>
      </c>
      <c r="B1015" s="4" t="s">
        <v>938</v>
      </c>
      <c r="C1015">
        <v>0.26200000000000001</v>
      </c>
      <c r="E1015" t="s">
        <v>6</v>
      </c>
    </row>
    <row r="1016" spans="1:5" ht="15" hidden="1" x14ac:dyDescent="0.25">
      <c r="A1016" s="3">
        <v>2495</v>
      </c>
      <c r="B1016" s="4" t="s">
        <v>1296</v>
      </c>
      <c r="C1016">
        <v>0.26200000000000001</v>
      </c>
      <c r="E1016" t="s">
        <v>6</v>
      </c>
    </row>
    <row r="1017" spans="1:5" ht="15" hidden="1" x14ac:dyDescent="0.25">
      <c r="A1017" s="3">
        <v>702495</v>
      </c>
      <c r="B1017" s="4" t="s">
        <v>1297</v>
      </c>
      <c r="C1017">
        <v>0.26200000000000001</v>
      </c>
      <c r="E1017" t="s">
        <v>6</v>
      </c>
    </row>
    <row r="1018" spans="1:5" ht="15" hidden="1" x14ac:dyDescent="0.25">
      <c r="A1018" s="3">
        <v>702772</v>
      </c>
      <c r="B1018" s="4" t="s">
        <v>939</v>
      </c>
      <c r="C1018">
        <v>0.26200000000000001</v>
      </c>
      <c r="E1018" t="s">
        <v>6</v>
      </c>
    </row>
    <row r="1019" spans="1:5" ht="15" hidden="1" x14ac:dyDescent="0.25">
      <c r="A1019" s="3">
        <v>2496</v>
      </c>
      <c r="B1019" s="4" t="s">
        <v>940</v>
      </c>
      <c r="C1019">
        <v>0.26200000000000001</v>
      </c>
      <c r="E1019" t="s">
        <v>6</v>
      </c>
    </row>
    <row r="1020" spans="1:5" ht="15" hidden="1" x14ac:dyDescent="0.25">
      <c r="A1020" s="3">
        <v>702496</v>
      </c>
      <c r="B1020" s="4" t="s">
        <v>941</v>
      </c>
      <c r="C1020">
        <v>0.26200000000000001</v>
      </c>
      <c r="E1020" t="s">
        <v>6</v>
      </c>
    </row>
    <row r="1021" spans="1:5" ht="15" hidden="1" x14ac:dyDescent="0.25">
      <c r="A1021" s="3">
        <v>409</v>
      </c>
      <c r="B1021" s="4" t="s">
        <v>942</v>
      </c>
      <c r="C1021">
        <v>1</v>
      </c>
      <c r="E1021" t="s">
        <v>6</v>
      </c>
    </row>
    <row r="1022" spans="1:5" ht="15" hidden="1" x14ac:dyDescent="0.25">
      <c r="A1022" s="3">
        <v>660</v>
      </c>
      <c r="B1022" s="4" t="s">
        <v>943</v>
      </c>
      <c r="C1022">
        <v>1</v>
      </c>
      <c r="E1022" t="s">
        <v>6</v>
      </c>
    </row>
    <row r="1023" spans="1:5" ht="15" hidden="1" x14ac:dyDescent="0.25">
      <c r="A1023" s="3">
        <v>537</v>
      </c>
      <c r="B1023" s="4" t="s">
        <v>944</v>
      </c>
      <c r="C1023">
        <v>1</v>
      </c>
      <c r="E1023" t="s">
        <v>6</v>
      </c>
    </row>
    <row r="1024" spans="1:5" ht="15" hidden="1" x14ac:dyDescent="0.25">
      <c r="A1024" s="3">
        <v>401</v>
      </c>
      <c r="B1024" s="4" t="s">
        <v>945</v>
      </c>
      <c r="C1024">
        <v>1</v>
      </c>
      <c r="E1024" t="s">
        <v>6</v>
      </c>
    </row>
    <row r="1025" spans="1:5" ht="15" hidden="1" x14ac:dyDescent="0.25">
      <c r="A1025" s="3">
        <v>536</v>
      </c>
      <c r="B1025" s="4" t="s">
        <v>945</v>
      </c>
      <c r="C1025">
        <v>1</v>
      </c>
      <c r="E1025" t="s">
        <v>6</v>
      </c>
    </row>
    <row r="1026" spans="1:5" ht="15" hidden="1" x14ac:dyDescent="0.25">
      <c r="A1026" s="3">
        <v>799</v>
      </c>
      <c r="B1026" s="4" t="s">
        <v>945</v>
      </c>
      <c r="C1026">
        <v>1</v>
      </c>
      <c r="E1026" t="s">
        <v>6</v>
      </c>
    </row>
    <row r="1027" spans="1:5" ht="15" hidden="1" x14ac:dyDescent="0.25">
      <c r="A1027" s="3">
        <v>400</v>
      </c>
      <c r="B1027" s="4" t="s">
        <v>946</v>
      </c>
      <c r="C1027">
        <v>1</v>
      </c>
      <c r="E1027" t="s">
        <v>6</v>
      </c>
    </row>
    <row r="1028" spans="1:5" ht="15" hidden="1" x14ac:dyDescent="0.25">
      <c r="A1028" s="3">
        <v>539</v>
      </c>
      <c r="B1028" s="4" t="s">
        <v>946</v>
      </c>
      <c r="C1028">
        <v>1</v>
      </c>
      <c r="E1028" t="s">
        <v>6</v>
      </c>
    </row>
    <row r="1029" spans="1:5" ht="15" hidden="1" x14ac:dyDescent="0.25">
      <c r="A1029" s="3">
        <v>798</v>
      </c>
      <c r="B1029" s="4" t="s">
        <v>946</v>
      </c>
      <c r="C1029">
        <v>1</v>
      </c>
      <c r="E1029" t="s">
        <v>6</v>
      </c>
    </row>
    <row r="1030" spans="1:5" ht="15" hidden="1" x14ac:dyDescent="0.25">
      <c r="A1030" s="3">
        <v>2808</v>
      </c>
      <c r="B1030" s="4" t="s">
        <v>947</v>
      </c>
      <c r="C1030">
        <v>1</v>
      </c>
      <c r="E1030" t="s">
        <v>6</v>
      </c>
    </row>
    <row r="1031" spans="1:5" ht="15" hidden="1" x14ac:dyDescent="0.25">
      <c r="A1031" s="8">
        <v>406</v>
      </c>
      <c r="B1031" s="8" t="s">
        <v>948</v>
      </c>
      <c r="C1031">
        <v>1</v>
      </c>
      <c r="E1031" t="s">
        <v>6</v>
      </c>
    </row>
    <row r="1032" spans="1:5" ht="15" hidden="1" x14ac:dyDescent="0.25">
      <c r="A1032" s="8">
        <v>3215</v>
      </c>
      <c r="B1032" s="8" t="s">
        <v>949</v>
      </c>
      <c r="C1032">
        <v>1</v>
      </c>
      <c r="E1032" t="s">
        <v>6</v>
      </c>
    </row>
    <row r="1033" spans="1:5" ht="15" hidden="1" x14ac:dyDescent="0.25">
      <c r="A1033" s="3">
        <v>2310</v>
      </c>
      <c r="B1033" s="4" t="s">
        <v>950</v>
      </c>
      <c r="C1033" t="s">
        <v>14</v>
      </c>
      <c r="E1033" t="s">
        <v>6</v>
      </c>
    </row>
    <row r="1034" spans="1:5" ht="15" hidden="1" x14ac:dyDescent="0.25">
      <c r="A1034" s="3">
        <v>2676</v>
      </c>
      <c r="B1034" s="4" t="s">
        <v>951</v>
      </c>
      <c r="C1034" t="s">
        <v>14</v>
      </c>
      <c r="E1034" t="s">
        <v>6</v>
      </c>
    </row>
    <row r="1035" spans="1:5" ht="15" hidden="1" x14ac:dyDescent="0.25">
      <c r="A1035" s="3">
        <v>2229</v>
      </c>
      <c r="B1035" s="4" t="s">
        <v>952</v>
      </c>
      <c r="C1035" t="s">
        <v>14</v>
      </c>
      <c r="E1035" t="s">
        <v>6</v>
      </c>
    </row>
    <row r="1036" spans="1:5" ht="15" hidden="1" x14ac:dyDescent="0.25">
      <c r="A1036" s="3">
        <v>702229</v>
      </c>
      <c r="B1036" s="4" t="s">
        <v>953</v>
      </c>
      <c r="C1036" t="s">
        <v>14</v>
      </c>
      <c r="E1036" t="s">
        <v>6</v>
      </c>
    </row>
    <row r="1037" spans="1:5" ht="15" hidden="1" x14ac:dyDescent="0.25">
      <c r="A1037" s="3">
        <v>2653</v>
      </c>
      <c r="B1037" s="4" t="s">
        <v>954</v>
      </c>
      <c r="C1037" t="s">
        <v>14</v>
      </c>
      <c r="E1037" t="s">
        <v>6</v>
      </c>
    </row>
    <row r="1038" spans="1:5" ht="15" hidden="1" x14ac:dyDescent="0.25">
      <c r="A1038" s="3">
        <v>2226</v>
      </c>
      <c r="B1038" s="4" t="s">
        <v>955</v>
      </c>
      <c r="C1038" t="s">
        <v>14</v>
      </c>
      <c r="E1038" t="s">
        <v>6</v>
      </c>
    </row>
    <row r="1039" spans="1:5" ht="15" hidden="1" x14ac:dyDescent="0.25">
      <c r="A1039" s="8">
        <v>702226</v>
      </c>
      <c r="B1039" s="8" t="s">
        <v>956</v>
      </c>
      <c r="C1039" t="s">
        <v>14</v>
      </c>
      <c r="E1039" t="s">
        <v>6</v>
      </c>
    </row>
    <row r="1040" spans="1:5" ht="15" hidden="1" x14ac:dyDescent="0.25">
      <c r="A1040" s="9">
        <v>2651</v>
      </c>
      <c r="B1040" s="9" t="s">
        <v>957</v>
      </c>
      <c r="C1040" t="s">
        <v>14</v>
      </c>
      <c r="E1040" t="s">
        <v>6</v>
      </c>
    </row>
    <row r="1041" spans="1:5" ht="15" hidden="1" x14ac:dyDescent="0.25">
      <c r="A1041" s="3">
        <v>2190</v>
      </c>
      <c r="B1041" s="4" t="s">
        <v>1298</v>
      </c>
      <c r="C1041" t="s">
        <v>14</v>
      </c>
      <c r="E1041" t="s">
        <v>6</v>
      </c>
    </row>
    <row r="1042" spans="1:5" ht="15" hidden="1" x14ac:dyDescent="0.25">
      <c r="A1042" s="3">
        <v>702190</v>
      </c>
      <c r="B1042" s="4" t="s">
        <v>1299</v>
      </c>
      <c r="C1042" t="s">
        <v>14</v>
      </c>
      <c r="E1042" t="s">
        <v>6</v>
      </c>
    </row>
    <row r="1043" spans="1:5" ht="15" hidden="1" x14ac:dyDescent="0.25">
      <c r="A1043" s="3">
        <v>2333</v>
      </c>
      <c r="B1043" s="4" t="s">
        <v>958</v>
      </c>
      <c r="C1043" t="s">
        <v>14</v>
      </c>
      <c r="E1043" t="s">
        <v>6</v>
      </c>
    </row>
    <row r="1044" spans="1:5" ht="15" hidden="1" x14ac:dyDescent="0.25">
      <c r="A1044" s="3">
        <v>70233</v>
      </c>
      <c r="B1044" s="4" t="s">
        <v>959</v>
      </c>
      <c r="C1044" t="s">
        <v>14</v>
      </c>
      <c r="E1044" t="s">
        <v>6</v>
      </c>
    </row>
    <row r="1045" spans="1:5" ht="15" hidden="1" x14ac:dyDescent="0.25">
      <c r="A1045" s="3">
        <v>2339</v>
      </c>
      <c r="B1045" s="4" t="s">
        <v>960</v>
      </c>
      <c r="C1045" t="s">
        <v>14</v>
      </c>
      <c r="E1045" t="s">
        <v>6</v>
      </c>
    </row>
    <row r="1046" spans="1:5" ht="15" hidden="1" x14ac:dyDescent="0.25">
      <c r="A1046" s="3">
        <v>702339</v>
      </c>
      <c r="B1046" s="4" t="s">
        <v>961</v>
      </c>
      <c r="C1046" t="s">
        <v>14</v>
      </c>
      <c r="E1046" t="s">
        <v>6</v>
      </c>
    </row>
    <row r="1047" spans="1:5" ht="15" hidden="1" x14ac:dyDescent="0.25">
      <c r="A1047" s="3">
        <v>2675</v>
      </c>
      <c r="B1047" s="4" t="s">
        <v>962</v>
      </c>
      <c r="C1047" t="s">
        <v>14</v>
      </c>
      <c r="E1047" t="s">
        <v>6</v>
      </c>
    </row>
    <row r="1048" spans="1:5" ht="15" hidden="1" x14ac:dyDescent="0.25">
      <c r="A1048" s="3">
        <v>3265</v>
      </c>
      <c r="B1048" s="4" t="s">
        <v>963</v>
      </c>
      <c r="C1048" t="s">
        <v>14</v>
      </c>
      <c r="E1048" t="s">
        <v>6</v>
      </c>
    </row>
    <row r="1049" spans="1:5" ht="15" hidden="1" x14ac:dyDescent="0.25">
      <c r="A1049" s="3">
        <v>2203</v>
      </c>
      <c r="B1049" s="4" t="s">
        <v>964</v>
      </c>
      <c r="C1049" t="s">
        <v>14</v>
      </c>
      <c r="E1049" t="s">
        <v>6</v>
      </c>
    </row>
    <row r="1050" spans="1:5" ht="15" hidden="1" x14ac:dyDescent="0.25">
      <c r="A1050" s="3">
        <v>702203</v>
      </c>
      <c r="B1050" s="4" t="s">
        <v>965</v>
      </c>
      <c r="C1050" t="s">
        <v>14</v>
      </c>
      <c r="E1050" t="s">
        <v>6</v>
      </c>
    </row>
    <row r="1051" spans="1:5" ht="15" hidden="1" x14ac:dyDescent="0.25">
      <c r="A1051" s="3">
        <v>2231</v>
      </c>
      <c r="B1051" s="4" t="s">
        <v>966</v>
      </c>
      <c r="C1051" t="s">
        <v>14</v>
      </c>
      <c r="E1051" t="s">
        <v>6</v>
      </c>
    </row>
    <row r="1052" spans="1:5" ht="15" hidden="1" x14ac:dyDescent="0.25">
      <c r="A1052" s="3">
        <v>2197</v>
      </c>
      <c r="B1052" s="4" t="s">
        <v>967</v>
      </c>
      <c r="C1052" t="s">
        <v>14</v>
      </c>
      <c r="E1052" t="s">
        <v>6</v>
      </c>
    </row>
    <row r="1053" spans="1:5" ht="15" hidden="1" x14ac:dyDescent="0.25">
      <c r="A1053" s="3">
        <v>702197</v>
      </c>
      <c r="B1053" s="4" t="s">
        <v>968</v>
      </c>
      <c r="C1053" t="s">
        <v>14</v>
      </c>
      <c r="E1053" t="s">
        <v>6</v>
      </c>
    </row>
    <row r="1054" spans="1:5" ht="15" hidden="1" x14ac:dyDescent="0.25">
      <c r="A1054" s="3">
        <v>2659</v>
      </c>
      <c r="B1054" s="4" t="s">
        <v>969</v>
      </c>
      <c r="C1054" t="s">
        <v>14</v>
      </c>
      <c r="E1054" t="s">
        <v>6</v>
      </c>
    </row>
    <row r="1055" spans="1:5" ht="15" hidden="1" x14ac:dyDescent="0.25">
      <c r="A1055" s="3">
        <v>2201</v>
      </c>
      <c r="B1055" s="4" t="s">
        <v>970</v>
      </c>
      <c r="C1055" t="s">
        <v>14</v>
      </c>
      <c r="E1055" t="s">
        <v>6</v>
      </c>
    </row>
    <row r="1056" spans="1:5" ht="15" hidden="1" x14ac:dyDescent="0.25">
      <c r="A1056" s="3">
        <v>2280</v>
      </c>
      <c r="B1056" s="4" t="s">
        <v>971</v>
      </c>
      <c r="C1056" t="s">
        <v>14</v>
      </c>
      <c r="E1056" t="s">
        <v>6</v>
      </c>
    </row>
    <row r="1057" spans="1:5" ht="15" hidden="1" x14ac:dyDescent="0.25">
      <c r="A1057" s="3">
        <v>702201</v>
      </c>
      <c r="B1057" s="4" t="s">
        <v>972</v>
      </c>
      <c r="C1057" t="s">
        <v>14</v>
      </c>
      <c r="E1057" t="s">
        <v>6</v>
      </c>
    </row>
    <row r="1058" spans="1:5" ht="15" hidden="1" x14ac:dyDescent="0.25">
      <c r="A1058" s="3">
        <v>2720</v>
      </c>
      <c r="B1058" s="4" t="s">
        <v>973</v>
      </c>
      <c r="C1058" t="s">
        <v>14</v>
      </c>
      <c r="E1058" t="s">
        <v>6</v>
      </c>
    </row>
    <row r="1059" spans="1:5" ht="15" hidden="1" x14ac:dyDescent="0.25">
      <c r="A1059" s="3">
        <v>2175</v>
      </c>
      <c r="B1059" s="4" t="s">
        <v>974</v>
      </c>
      <c r="C1059" t="s">
        <v>14</v>
      </c>
      <c r="E1059" t="s">
        <v>6</v>
      </c>
    </row>
    <row r="1060" spans="1:5" ht="15" hidden="1" x14ac:dyDescent="0.25">
      <c r="A1060" s="3">
        <v>2216</v>
      </c>
      <c r="B1060" s="4" t="s">
        <v>975</v>
      </c>
      <c r="C1060" t="s">
        <v>14</v>
      </c>
      <c r="E1060" t="s">
        <v>6</v>
      </c>
    </row>
    <row r="1061" spans="1:5" ht="15" hidden="1" x14ac:dyDescent="0.25">
      <c r="A1061" s="3">
        <v>702175</v>
      </c>
      <c r="B1061" s="4" t="s">
        <v>976</v>
      </c>
      <c r="C1061" t="s">
        <v>14</v>
      </c>
      <c r="E1061" t="s">
        <v>6</v>
      </c>
    </row>
    <row r="1062" spans="1:5" ht="15" hidden="1" x14ac:dyDescent="0.25">
      <c r="A1062" s="3">
        <v>2167</v>
      </c>
      <c r="B1062" s="4" t="s">
        <v>977</v>
      </c>
      <c r="C1062" t="s">
        <v>14</v>
      </c>
      <c r="E1062" t="s">
        <v>6</v>
      </c>
    </row>
    <row r="1063" spans="1:5" ht="15" hidden="1" x14ac:dyDescent="0.25">
      <c r="A1063" s="3">
        <v>702167</v>
      </c>
      <c r="B1063" s="4" t="s">
        <v>978</v>
      </c>
      <c r="C1063" t="s">
        <v>14</v>
      </c>
      <c r="E1063" t="s">
        <v>6</v>
      </c>
    </row>
    <row r="1064" spans="1:5" ht="15" hidden="1" x14ac:dyDescent="0.25">
      <c r="A1064" s="3">
        <v>3253</v>
      </c>
      <c r="B1064" s="4" t="s">
        <v>979</v>
      </c>
      <c r="C1064" t="s">
        <v>14</v>
      </c>
      <c r="E1064" t="s">
        <v>6</v>
      </c>
    </row>
    <row r="1065" spans="1:5" ht="15" hidden="1" x14ac:dyDescent="0.25">
      <c r="A1065" s="9">
        <v>3263</v>
      </c>
      <c r="B1065" s="9" t="s">
        <v>980</v>
      </c>
      <c r="C1065" t="s">
        <v>14</v>
      </c>
      <c r="E1065" t="s">
        <v>6</v>
      </c>
    </row>
    <row r="1066" spans="1:5" ht="15" hidden="1" x14ac:dyDescent="0.25">
      <c r="A1066" s="9">
        <v>2179</v>
      </c>
      <c r="B1066" s="9" t="s">
        <v>1300</v>
      </c>
      <c r="C1066" t="s">
        <v>14</v>
      </c>
      <c r="E1066" t="s">
        <v>6</v>
      </c>
    </row>
    <row r="1067" spans="1:5" ht="15" hidden="1" x14ac:dyDescent="0.25">
      <c r="A1067" s="3">
        <v>702179</v>
      </c>
      <c r="B1067" s="4" t="s">
        <v>1301</v>
      </c>
      <c r="C1067" t="s">
        <v>14</v>
      </c>
      <c r="E1067" t="s">
        <v>6</v>
      </c>
    </row>
    <row r="1068" spans="1:5" ht="15" hidden="1" x14ac:dyDescent="0.25">
      <c r="A1068" s="3">
        <v>2121</v>
      </c>
      <c r="B1068" s="4" t="s">
        <v>1302</v>
      </c>
      <c r="C1068" t="s">
        <v>14</v>
      </c>
      <c r="E1068" t="s">
        <v>6</v>
      </c>
    </row>
    <row r="1069" spans="1:5" ht="15" hidden="1" x14ac:dyDescent="0.25">
      <c r="A1069" s="3">
        <v>702121</v>
      </c>
      <c r="B1069" s="4" t="s">
        <v>1303</v>
      </c>
      <c r="C1069" t="s">
        <v>14</v>
      </c>
      <c r="E1069" t="s">
        <v>6</v>
      </c>
    </row>
    <row r="1070" spans="1:5" ht="15" hidden="1" x14ac:dyDescent="0.25">
      <c r="A1070" s="3">
        <v>2500</v>
      </c>
      <c r="B1070" s="4" t="s">
        <v>981</v>
      </c>
      <c r="C1070" t="s">
        <v>14</v>
      </c>
      <c r="E1070" t="s">
        <v>6</v>
      </c>
    </row>
    <row r="1071" spans="1:5" ht="15" hidden="1" x14ac:dyDescent="0.25">
      <c r="A1071" s="3">
        <v>702500</v>
      </c>
      <c r="B1071" s="4" t="s">
        <v>982</v>
      </c>
      <c r="C1071" t="s">
        <v>14</v>
      </c>
      <c r="E1071" t="s">
        <v>6</v>
      </c>
    </row>
    <row r="1072" spans="1:5" ht="15" hidden="1" x14ac:dyDescent="0.25">
      <c r="A1072" s="3">
        <v>702501</v>
      </c>
      <c r="B1072" s="4" t="s">
        <v>982</v>
      </c>
      <c r="C1072" t="s">
        <v>14</v>
      </c>
      <c r="E1072" t="s">
        <v>6</v>
      </c>
    </row>
    <row r="1073" spans="1:5" ht="15" hidden="1" x14ac:dyDescent="0.25">
      <c r="A1073" s="3">
        <v>2378</v>
      </c>
      <c r="B1073" s="4" t="s">
        <v>983</v>
      </c>
      <c r="C1073" t="s">
        <v>14</v>
      </c>
      <c r="E1073" t="s">
        <v>6</v>
      </c>
    </row>
    <row r="1074" spans="1:5" ht="15" hidden="1" x14ac:dyDescent="0.25">
      <c r="A1074" s="3">
        <v>2380</v>
      </c>
      <c r="B1074" s="4" t="s">
        <v>984</v>
      </c>
      <c r="C1074" t="s">
        <v>14</v>
      </c>
      <c r="E1074" t="s">
        <v>6</v>
      </c>
    </row>
    <row r="1075" spans="1:5" ht="15" hidden="1" x14ac:dyDescent="0.25">
      <c r="A1075" s="3">
        <v>2527</v>
      </c>
      <c r="B1075" s="4" t="s">
        <v>985</v>
      </c>
      <c r="C1075" t="s">
        <v>14</v>
      </c>
      <c r="E1075" t="s">
        <v>6</v>
      </c>
    </row>
    <row r="1076" spans="1:5" ht="15" hidden="1" x14ac:dyDescent="0.25">
      <c r="A1076" s="3">
        <v>702527</v>
      </c>
      <c r="B1076" s="4" t="s">
        <v>986</v>
      </c>
      <c r="C1076" t="s">
        <v>14</v>
      </c>
      <c r="E1076" t="s">
        <v>6</v>
      </c>
    </row>
    <row r="1077" spans="1:5" ht="15" hidden="1" x14ac:dyDescent="0.25">
      <c r="A1077" s="3">
        <v>2384</v>
      </c>
      <c r="B1077" s="4" t="s">
        <v>987</v>
      </c>
      <c r="C1077" t="s">
        <v>14</v>
      </c>
      <c r="E1077" t="s">
        <v>6</v>
      </c>
    </row>
    <row r="1078" spans="1:5" ht="15" hidden="1" x14ac:dyDescent="0.25">
      <c r="A1078" s="3">
        <v>2652</v>
      </c>
      <c r="B1078" s="4" t="s">
        <v>988</v>
      </c>
      <c r="C1078" t="s">
        <v>14</v>
      </c>
      <c r="E1078" t="s">
        <v>6</v>
      </c>
    </row>
    <row r="1079" spans="1:5" ht="15" hidden="1" x14ac:dyDescent="0.25">
      <c r="A1079" s="3">
        <v>2711</v>
      </c>
      <c r="B1079" s="4" t="s">
        <v>989</v>
      </c>
      <c r="C1079" t="s">
        <v>14</v>
      </c>
      <c r="E1079" t="s">
        <v>6</v>
      </c>
    </row>
    <row r="1080" spans="1:5" ht="15" hidden="1" x14ac:dyDescent="0.25">
      <c r="A1080" s="3">
        <v>2171</v>
      </c>
      <c r="B1080" s="4" t="s">
        <v>990</v>
      </c>
      <c r="C1080" t="s">
        <v>14</v>
      </c>
      <c r="E1080" t="s">
        <v>6</v>
      </c>
    </row>
    <row r="1081" spans="1:5" ht="15" hidden="1" x14ac:dyDescent="0.25">
      <c r="A1081" s="3">
        <v>2199</v>
      </c>
      <c r="B1081" s="4" t="s">
        <v>991</v>
      </c>
      <c r="C1081" t="s">
        <v>14</v>
      </c>
      <c r="E1081" t="s">
        <v>6</v>
      </c>
    </row>
    <row r="1082" spans="1:5" ht="15" hidden="1" x14ac:dyDescent="0.25">
      <c r="A1082" s="3">
        <v>702171</v>
      </c>
      <c r="B1082" s="4" t="s">
        <v>992</v>
      </c>
      <c r="C1082" t="s">
        <v>14</v>
      </c>
      <c r="E1082" t="s">
        <v>6</v>
      </c>
    </row>
    <row r="1083" spans="1:5" ht="15" hidden="1" x14ac:dyDescent="0.25">
      <c r="A1083" s="3">
        <v>2335</v>
      </c>
      <c r="B1083" s="4" t="s">
        <v>993</v>
      </c>
      <c r="C1083" t="s">
        <v>14</v>
      </c>
      <c r="E1083" t="s">
        <v>6</v>
      </c>
    </row>
    <row r="1084" spans="1:5" ht="15" hidden="1" x14ac:dyDescent="0.25">
      <c r="A1084" s="3">
        <v>2168</v>
      </c>
      <c r="B1084" s="4" t="s">
        <v>994</v>
      </c>
      <c r="C1084" t="s">
        <v>14</v>
      </c>
      <c r="E1084" t="s">
        <v>6</v>
      </c>
    </row>
    <row r="1085" spans="1:5" ht="15" hidden="1" x14ac:dyDescent="0.25">
      <c r="A1085" s="3">
        <v>702168</v>
      </c>
      <c r="B1085" s="4" t="s">
        <v>995</v>
      </c>
      <c r="C1085" t="s">
        <v>14</v>
      </c>
      <c r="E1085" t="s">
        <v>6</v>
      </c>
    </row>
    <row r="1086" spans="1:5" ht="15" hidden="1" x14ac:dyDescent="0.25">
      <c r="A1086" s="3">
        <v>2336</v>
      </c>
      <c r="B1086" s="4" t="s">
        <v>996</v>
      </c>
      <c r="C1086" t="s">
        <v>14</v>
      </c>
      <c r="E1086" t="s">
        <v>6</v>
      </c>
    </row>
    <row r="1087" spans="1:5" ht="15" hidden="1" x14ac:dyDescent="0.25">
      <c r="A1087" s="3">
        <v>2499</v>
      </c>
      <c r="B1087" s="4" t="s">
        <v>997</v>
      </c>
      <c r="C1087" t="s">
        <v>14</v>
      </c>
      <c r="E1087" t="s">
        <v>6</v>
      </c>
    </row>
    <row r="1088" spans="1:5" ht="15" hidden="1" x14ac:dyDescent="0.25">
      <c r="A1088" s="3">
        <v>702499</v>
      </c>
      <c r="B1088" s="4" t="s">
        <v>998</v>
      </c>
      <c r="C1088" t="s">
        <v>14</v>
      </c>
      <c r="E1088" t="s">
        <v>6</v>
      </c>
    </row>
    <row r="1089" spans="1:5" ht="15" hidden="1" x14ac:dyDescent="0.25">
      <c r="A1089" s="9">
        <v>2502</v>
      </c>
      <c r="B1089" s="9" t="s">
        <v>1304</v>
      </c>
      <c r="C1089" t="s">
        <v>14</v>
      </c>
      <c r="E1089" t="s">
        <v>6</v>
      </c>
    </row>
    <row r="1090" spans="1:5" ht="15" hidden="1" x14ac:dyDescent="0.25">
      <c r="A1090" s="9">
        <v>702502</v>
      </c>
      <c r="B1090" s="9" t="s">
        <v>1305</v>
      </c>
      <c r="C1090" t="s">
        <v>14</v>
      </c>
      <c r="E1090" t="s">
        <v>6</v>
      </c>
    </row>
    <row r="1091" spans="1:5" ht="15" hidden="1" x14ac:dyDescent="0.25">
      <c r="A1091" s="3">
        <v>2162</v>
      </c>
      <c r="B1091" s="4" t="s">
        <v>1306</v>
      </c>
      <c r="C1091" t="s">
        <v>14</v>
      </c>
      <c r="E1091" t="s">
        <v>6</v>
      </c>
    </row>
    <row r="1092" spans="1:5" ht="15" hidden="1" x14ac:dyDescent="0.25">
      <c r="A1092" s="3">
        <v>702162</v>
      </c>
      <c r="B1092" s="4" t="s">
        <v>1307</v>
      </c>
      <c r="C1092" t="s">
        <v>14</v>
      </c>
      <c r="E1092" t="s">
        <v>6</v>
      </c>
    </row>
    <row r="1093" spans="1:5" ht="15" hidden="1" x14ac:dyDescent="0.25">
      <c r="A1093" s="3">
        <v>2446</v>
      </c>
      <c r="B1093" s="4" t="s">
        <v>999</v>
      </c>
      <c r="C1093" t="s">
        <v>14</v>
      </c>
      <c r="E1093" t="s">
        <v>6</v>
      </c>
    </row>
    <row r="1094" spans="1:5" ht="15" hidden="1" x14ac:dyDescent="0.25">
      <c r="A1094" s="3">
        <v>2860</v>
      </c>
      <c r="B1094" s="4" t="s">
        <v>1000</v>
      </c>
      <c r="C1094" t="s">
        <v>14</v>
      </c>
      <c r="E1094" t="s">
        <v>6</v>
      </c>
    </row>
    <row r="1095" spans="1:5" ht="15" hidden="1" x14ac:dyDescent="0.25">
      <c r="A1095" s="3">
        <v>702860</v>
      </c>
      <c r="B1095" s="4" t="s">
        <v>1001</v>
      </c>
      <c r="C1095" t="s">
        <v>14</v>
      </c>
      <c r="E1095" t="s">
        <v>6</v>
      </c>
    </row>
    <row r="1096" spans="1:5" ht="15" hidden="1" x14ac:dyDescent="0.25">
      <c r="A1096" s="3">
        <v>2445</v>
      </c>
      <c r="B1096" s="4" t="s">
        <v>1002</v>
      </c>
      <c r="C1096" t="s">
        <v>14</v>
      </c>
      <c r="E1096" t="s">
        <v>6</v>
      </c>
    </row>
    <row r="1097" spans="1:5" ht="15" hidden="1" x14ac:dyDescent="0.25">
      <c r="A1097" s="3">
        <v>2859</v>
      </c>
      <c r="B1097" s="4" t="s">
        <v>1003</v>
      </c>
      <c r="C1097" t="s">
        <v>14</v>
      </c>
      <c r="E1097" t="s">
        <v>6</v>
      </c>
    </row>
    <row r="1098" spans="1:5" ht="15" hidden="1" x14ac:dyDescent="0.25">
      <c r="A1098" s="3">
        <v>702859</v>
      </c>
      <c r="B1098" s="4" t="s">
        <v>1004</v>
      </c>
      <c r="C1098" t="s">
        <v>14</v>
      </c>
      <c r="E1098" t="s">
        <v>6</v>
      </c>
    </row>
    <row r="1099" spans="1:5" ht="15" hidden="1" x14ac:dyDescent="0.25">
      <c r="A1099" s="3">
        <v>2858</v>
      </c>
      <c r="B1099" s="4" t="s">
        <v>1308</v>
      </c>
      <c r="C1099" t="s">
        <v>14</v>
      </c>
      <c r="E1099" t="s">
        <v>6</v>
      </c>
    </row>
    <row r="1100" spans="1:5" ht="15" hidden="1" x14ac:dyDescent="0.25">
      <c r="A1100" s="3">
        <v>702858</v>
      </c>
      <c r="B1100" s="4" t="s">
        <v>1309</v>
      </c>
      <c r="C1100" t="s">
        <v>14</v>
      </c>
      <c r="E1100" t="s">
        <v>6</v>
      </c>
    </row>
    <row r="1101" spans="1:5" ht="15" hidden="1" x14ac:dyDescent="0.25">
      <c r="A1101" s="3">
        <v>4051</v>
      </c>
      <c r="B1101" s="4" t="s">
        <v>1005</v>
      </c>
      <c r="C1101" t="s">
        <v>14</v>
      </c>
      <c r="E1101" t="s">
        <v>6</v>
      </c>
    </row>
    <row r="1102" spans="1:5" ht="15" hidden="1" x14ac:dyDescent="0.25">
      <c r="A1102" s="3">
        <v>3888</v>
      </c>
      <c r="B1102" s="4" t="s">
        <v>1005</v>
      </c>
      <c r="C1102" t="s">
        <v>14</v>
      </c>
      <c r="E1102" t="s">
        <v>15</v>
      </c>
    </row>
    <row r="1103" spans="1:5" ht="15" hidden="1" x14ac:dyDescent="0.25">
      <c r="A1103" s="3">
        <v>702333</v>
      </c>
      <c r="B1103" s="4" t="s">
        <v>1006</v>
      </c>
      <c r="C1103" t="s">
        <v>14</v>
      </c>
      <c r="E1103" t="s">
        <v>6</v>
      </c>
    </row>
    <row r="1104" spans="1:5" ht="15" hidden="1" x14ac:dyDescent="0.25">
      <c r="A1104" s="3">
        <v>3617</v>
      </c>
      <c r="B1104" s="4" t="s">
        <v>1007</v>
      </c>
      <c r="C1104" t="s">
        <v>14</v>
      </c>
      <c r="E1104" t="s">
        <v>6</v>
      </c>
    </row>
    <row r="1105" spans="1:5" ht="15" hidden="1" x14ac:dyDescent="0.25">
      <c r="A1105" s="3">
        <v>3931</v>
      </c>
      <c r="B1105" s="4" t="s">
        <v>1008</v>
      </c>
      <c r="C1105" t="s">
        <v>14</v>
      </c>
      <c r="E1105" t="s">
        <v>6</v>
      </c>
    </row>
    <row r="1106" spans="1:5" ht="15" hidden="1" x14ac:dyDescent="0.25">
      <c r="A1106" s="3">
        <v>3300</v>
      </c>
      <c r="B1106" s="4" t="s">
        <v>1009</v>
      </c>
      <c r="C1106" t="s">
        <v>14</v>
      </c>
      <c r="E1106" t="s">
        <v>6</v>
      </c>
    </row>
    <row r="1107" spans="1:5" ht="15" hidden="1" x14ac:dyDescent="0.25">
      <c r="A1107" s="3">
        <v>3302</v>
      </c>
      <c r="B1107" s="4" t="s">
        <v>1010</v>
      </c>
      <c r="C1107" t="s">
        <v>14</v>
      </c>
      <c r="E1107" t="s">
        <v>6</v>
      </c>
    </row>
    <row r="1108" spans="1:5" ht="15" hidden="1" x14ac:dyDescent="0.25">
      <c r="A1108" s="3">
        <v>3301</v>
      </c>
      <c r="B1108" s="4" t="s">
        <v>1011</v>
      </c>
      <c r="C1108" t="s">
        <v>14</v>
      </c>
      <c r="E1108" t="s">
        <v>6</v>
      </c>
    </row>
    <row r="1109" spans="1:5" ht="15" hidden="1" x14ac:dyDescent="0.25">
      <c r="A1109" s="3">
        <v>3608</v>
      </c>
      <c r="B1109" s="4" t="s">
        <v>1012</v>
      </c>
      <c r="C1109" t="s">
        <v>14</v>
      </c>
      <c r="E1109" t="s">
        <v>6</v>
      </c>
    </row>
    <row r="1110" spans="1:5" ht="15" hidden="1" x14ac:dyDescent="0.25">
      <c r="A1110" s="3">
        <v>3942</v>
      </c>
      <c r="B1110" s="4" t="s">
        <v>1013</v>
      </c>
      <c r="C1110" t="s">
        <v>14</v>
      </c>
      <c r="E1110" t="s">
        <v>6</v>
      </c>
    </row>
    <row r="1111" spans="1:5" ht="15" hidden="1" x14ac:dyDescent="0.25">
      <c r="A1111" s="3">
        <v>3941</v>
      </c>
      <c r="B1111" s="4" t="s">
        <v>1014</v>
      </c>
      <c r="C1111" t="s">
        <v>14</v>
      </c>
      <c r="E1111" t="s">
        <v>6</v>
      </c>
    </row>
    <row r="1112" spans="1:5" ht="15" hidden="1" x14ac:dyDescent="0.25">
      <c r="A1112" s="3">
        <v>3949</v>
      </c>
      <c r="B1112" s="4" t="s">
        <v>1015</v>
      </c>
      <c r="C1112" t="s">
        <v>14</v>
      </c>
      <c r="E1112" t="s">
        <v>6</v>
      </c>
    </row>
    <row r="1113" spans="1:5" ht="15" hidden="1" x14ac:dyDescent="0.25">
      <c r="A1113" s="3">
        <v>3950</v>
      </c>
      <c r="B1113" s="4" t="s">
        <v>1016</v>
      </c>
      <c r="C1113" t="s">
        <v>14</v>
      </c>
      <c r="E1113" t="s">
        <v>6</v>
      </c>
    </row>
    <row r="1114" spans="1:5" ht="15" hidden="1" x14ac:dyDescent="0.25">
      <c r="A1114" s="3">
        <v>935085</v>
      </c>
      <c r="B1114" s="4" t="s">
        <v>1017</v>
      </c>
      <c r="C1114" t="s">
        <v>14</v>
      </c>
      <c r="E1114" t="s">
        <v>6</v>
      </c>
    </row>
    <row r="1115" spans="1:5" ht="15" hidden="1" x14ac:dyDescent="0.25">
      <c r="A1115" s="3">
        <v>3988</v>
      </c>
      <c r="B1115" s="4" t="s">
        <v>1018</v>
      </c>
      <c r="C1115" t="s">
        <v>14</v>
      </c>
      <c r="E1115" t="s">
        <v>6</v>
      </c>
    </row>
    <row r="1116" spans="1:5" ht="15" hidden="1" x14ac:dyDescent="0.25">
      <c r="A1116" s="3">
        <v>3991</v>
      </c>
      <c r="B1116" s="4" t="s">
        <v>1019</v>
      </c>
      <c r="C1116" t="s">
        <v>14</v>
      </c>
      <c r="E1116" t="s">
        <v>6</v>
      </c>
    </row>
    <row r="1117" spans="1:5" ht="15" hidden="1" x14ac:dyDescent="0.25">
      <c r="A1117" s="3">
        <v>3992</v>
      </c>
      <c r="B1117" s="4" t="s">
        <v>1020</v>
      </c>
      <c r="C1117" t="s">
        <v>14</v>
      </c>
      <c r="E1117" t="s">
        <v>6</v>
      </c>
    </row>
    <row r="1118" spans="1:5" ht="15" hidden="1" x14ac:dyDescent="0.25">
      <c r="A1118" s="3">
        <v>4011</v>
      </c>
      <c r="B1118" s="4" t="s">
        <v>1021</v>
      </c>
      <c r="C1118" t="s">
        <v>14</v>
      </c>
      <c r="E1118" t="s">
        <v>6</v>
      </c>
    </row>
    <row r="1119" spans="1:5" ht="15" hidden="1" x14ac:dyDescent="0.25">
      <c r="A1119" s="3">
        <v>4012</v>
      </c>
      <c r="B1119" s="4" t="s">
        <v>1022</v>
      </c>
      <c r="C1119" t="s">
        <v>14</v>
      </c>
      <c r="E1119" t="s">
        <v>6</v>
      </c>
    </row>
    <row r="1120" spans="1:5" ht="15" hidden="1" x14ac:dyDescent="0.25">
      <c r="A1120" s="3">
        <v>4013</v>
      </c>
      <c r="B1120" s="4" t="s">
        <v>1023</v>
      </c>
      <c r="C1120" t="s">
        <v>14</v>
      </c>
      <c r="E1120" t="s">
        <v>6</v>
      </c>
    </row>
    <row r="1121" spans="1:5" ht="15" hidden="1" x14ac:dyDescent="0.25">
      <c r="A1121" s="3">
        <v>4015</v>
      </c>
      <c r="B1121" s="4" t="s">
        <v>1024</v>
      </c>
      <c r="C1121" t="s">
        <v>14</v>
      </c>
      <c r="E1121" t="s">
        <v>6</v>
      </c>
    </row>
    <row r="1122" spans="1:5" ht="15" hidden="1" x14ac:dyDescent="0.25">
      <c r="A1122" s="3">
        <v>4014</v>
      </c>
      <c r="B1122" s="4" t="s">
        <v>1025</v>
      </c>
      <c r="C1122" t="s">
        <v>14</v>
      </c>
      <c r="E1122" t="s">
        <v>6</v>
      </c>
    </row>
    <row r="1123" spans="1:5" ht="15" hidden="1" x14ac:dyDescent="0.25">
      <c r="A1123" s="3">
        <v>4016</v>
      </c>
      <c r="B1123" s="4" t="s">
        <v>1026</v>
      </c>
      <c r="C1123" t="s">
        <v>14</v>
      </c>
      <c r="E1123" t="s">
        <v>6</v>
      </c>
    </row>
    <row r="1124" spans="1:5" ht="15" hidden="1" x14ac:dyDescent="0.25">
      <c r="A1124" s="3">
        <v>4014</v>
      </c>
      <c r="B1124" s="4" t="s">
        <v>1025</v>
      </c>
      <c r="C1124" t="s">
        <v>14</v>
      </c>
      <c r="E1124" t="s">
        <v>6</v>
      </c>
    </row>
    <row r="1125" spans="1:5" ht="15" hidden="1" x14ac:dyDescent="0.25">
      <c r="A1125" s="3">
        <v>4017</v>
      </c>
      <c r="B1125" s="4" t="s">
        <v>1027</v>
      </c>
      <c r="C1125" t="s">
        <v>14</v>
      </c>
      <c r="E1125" t="s">
        <v>6</v>
      </c>
    </row>
    <row r="1126" spans="1:5" ht="15" hidden="1" x14ac:dyDescent="0.25">
      <c r="A1126" s="3">
        <v>4018</v>
      </c>
      <c r="B1126" s="4" t="s">
        <v>1028</v>
      </c>
      <c r="C1126" t="s">
        <v>14</v>
      </c>
      <c r="E1126" t="s">
        <v>6</v>
      </c>
    </row>
    <row r="1127" spans="1:5" ht="15" hidden="1" x14ac:dyDescent="0.25">
      <c r="A1127" s="3">
        <v>3990</v>
      </c>
      <c r="B1127" s="4" t="s">
        <v>1029</v>
      </c>
      <c r="C1127" t="s">
        <v>14</v>
      </c>
      <c r="E1127" t="s">
        <v>6</v>
      </c>
    </row>
    <row r="1128" spans="1:5" ht="15" hidden="1" x14ac:dyDescent="0.25">
      <c r="A1128" s="3">
        <v>3306</v>
      </c>
      <c r="B1128" s="4" t="s">
        <v>1030</v>
      </c>
      <c r="C1128" t="s">
        <v>14</v>
      </c>
      <c r="E1128" t="s">
        <v>6</v>
      </c>
    </row>
    <row r="1129" spans="1:5" ht="15" hidden="1" x14ac:dyDescent="0.25">
      <c r="A1129" s="3">
        <v>3307</v>
      </c>
      <c r="B1129" s="4" t="s">
        <v>1031</v>
      </c>
      <c r="C1129" t="s">
        <v>14</v>
      </c>
      <c r="E1129" t="s">
        <v>6</v>
      </c>
    </row>
    <row r="1130" spans="1:5" ht="15" hidden="1" x14ac:dyDescent="0.25">
      <c r="A1130" s="3">
        <v>3308</v>
      </c>
      <c r="B1130" s="4" t="s">
        <v>1032</v>
      </c>
      <c r="C1130" t="s">
        <v>14</v>
      </c>
      <c r="E1130" t="s">
        <v>6</v>
      </c>
    </row>
    <row r="1131" spans="1:5" ht="15" hidden="1" x14ac:dyDescent="0.25">
      <c r="A1131" s="3">
        <v>3312</v>
      </c>
      <c r="B1131" s="4" t="s">
        <v>1033</v>
      </c>
      <c r="C1131" t="s">
        <v>14</v>
      </c>
      <c r="E1131" t="s">
        <v>6</v>
      </c>
    </row>
    <row r="1132" spans="1:5" ht="15" hidden="1" x14ac:dyDescent="0.25">
      <c r="A1132" s="3">
        <v>3951</v>
      </c>
      <c r="B1132" s="4" t="s">
        <v>1034</v>
      </c>
      <c r="C1132" t="s">
        <v>14</v>
      </c>
      <c r="E1132" t="s">
        <v>6</v>
      </c>
    </row>
    <row r="1133" spans="1:5" ht="15" hidden="1" x14ac:dyDescent="0.25">
      <c r="A1133" s="3">
        <v>3952</v>
      </c>
      <c r="B1133" s="4" t="s">
        <v>1035</v>
      </c>
      <c r="C1133" t="s">
        <v>14</v>
      </c>
      <c r="E1133" t="s">
        <v>6</v>
      </c>
    </row>
    <row r="1134" spans="1:5" ht="15" hidden="1" x14ac:dyDescent="0.25">
      <c r="A1134" s="3">
        <v>3937</v>
      </c>
      <c r="B1134" s="4" t="s">
        <v>1036</v>
      </c>
      <c r="C1134" t="s">
        <v>14</v>
      </c>
      <c r="E1134" t="s">
        <v>6</v>
      </c>
    </row>
    <row r="1135" spans="1:5" ht="15" hidden="1" x14ac:dyDescent="0.25">
      <c r="A1135" s="3">
        <v>3938</v>
      </c>
      <c r="B1135" s="4" t="s">
        <v>1037</v>
      </c>
      <c r="C1135" t="s">
        <v>14</v>
      </c>
      <c r="E1135" t="s">
        <v>6</v>
      </c>
    </row>
    <row r="1136" spans="1:5" ht="15" hidden="1" x14ac:dyDescent="0.25">
      <c r="A1136" s="3">
        <v>3936</v>
      </c>
      <c r="B1136" s="4" t="s">
        <v>1038</v>
      </c>
      <c r="C1136" t="s">
        <v>14</v>
      </c>
      <c r="E1136" t="s">
        <v>6</v>
      </c>
    </row>
    <row r="1137" spans="1:5" ht="15" hidden="1" x14ac:dyDescent="0.25">
      <c r="A1137" s="3">
        <v>4023</v>
      </c>
      <c r="B1137" s="4" t="s">
        <v>1039</v>
      </c>
      <c r="C1137" t="s">
        <v>14</v>
      </c>
      <c r="E1137" t="s">
        <v>6</v>
      </c>
    </row>
    <row r="1138" spans="1:5" ht="15" hidden="1" x14ac:dyDescent="0.25">
      <c r="A1138" s="3">
        <v>4024</v>
      </c>
      <c r="B1138" s="4" t="s">
        <v>1040</v>
      </c>
      <c r="C1138" t="s">
        <v>14</v>
      </c>
      <c r="E1138" t="s">
        <v>6</v>
      </c>
    </row>
    <row r="1139" spans="1:5" ht="15" hidden="1" x14ac:dyDescent="0.25">
      <c r="A1139" s="3">
        <v>3946</v>
      </c>
      <c r="B1139" s="4" t="s">
        <v>1041</v>
      </c>
      <c r="C1139" t="s">
        <v>14</v>
      </c>
      <c r="E1139" t="s">
        <v>6</v>
      </c>
    </row>
    <row r="1140" spans="1:5" ht="15" hidden="1" x14ac:dyDescent="0.25">
      <c r="A1140" s="3">
        <v>3947</v>
      </c>
      <c r="B1140" s="4" t="s">
        <v>1042</v>
      </c>
      <c r="C1140" t="s">
        <v>14</v>
      </c>
      <c r="E1140" t="s">
        <v>6</v>
      </c>
    </row>
    <row r="1141" spans="1:5" ht="15" hidden="1" x14ac:dyDescent="0.25">
      <c r="A1141" s="3">
        <v>3948</v>
      </c>
      <c r="B1141" s="4" t="s">
        <v>1043</v>
      </c>
      <c r="C1141" t="s">
        <v>14</v>
      </c>
      <c r="E1141" t="s">
        <v>6</v>
      </c>
    </row>
    <row r="1142" spans="1:5" ht="15" hidden="1" x14ac:dyDescent="0.25">
      <c r="A1142" s="3">
        <v>3309</v>
      </c>
      <c r="B1142" s="4" t="s">
        <v>1044</v>
      </c>
      <c r="C1142" t="s">
        <v>14</v>
      </c>
      <c r="E1142" t="s">
        <v>6</v>
      </c>
    </row>
    <row r="1143" spans="1:5" ht="15" hidden="1" x14ac:dyDescent="0.25">
      <c r="A1143" s="3">
        <v>3956</v>
      </c>
      <c r="B1143" s="4" t="s">
        <v>1045</v>
      </c>
      <c r="C1143" t="s">
        <v>14</v>
      </c>
      <c r="E1143" t="s">
        <v>6</v>
      </c>
    </row>
    <row r="1144" spans="1:5" ht="15" hidden="1" x14ac:dyDescent="0.25">
      <c r="A1144" s="10">
        <v>3989</v>
      </c>
      <c r="B1144" s="10" t="s">
        <v>1046</v>
      </c>
      <c r="C1144" t="s">
        <v>14</v>
      </c>
      <c r="E1144" t="s">
        <v>6</v>
      </c>
    </row>
    <row r="1145" spans="1:5" ht="15" hidden="1" x14ac:dyDescent="0.25">
      <c r="A1145" s="10">
        <v>4027</v>
      </c>
      <c r="B1145" s="10" t="s">
        <v>1047</v>
      </c>
      <c r="C1145" t="s">
        <v>14</v>
      </c>
      <c r="E1145" t="s">
        <v>6</v>
      </c>
    </row>
    <row r="1146" spans="1:5" ht="15" hidden="1" x14ac:dyDescent="0.25">
      <c r="A1146" s="10">
        <v>4028</v>
      </c>
      <c r="B1146" s="10" t="s">
        <v>1048</v>
      </c>
      <c r="C1146" t="s">
        <v>14</v>
      </c>
      <c r="E1146" t="s">
        <v>6</v>
      </c>
    </row>
    <row r="1147" spans="1:5" ht="15" hidden="1" x14ac:dyDescent="0.25">
      <c r="A1147" s="10">
        <v>4041</v>
      </c>
      <c r="B1147" s="10" t="s">
        <v>1049</v>
      </c>
      <c r="C1147" t="s">
        <v>14</v>
      </c>
      <c r="E1147" t="s">
        <v>6</v>
      </c>
    </row>
    <row r="1148" spans="1:5" ht="15" hidden="1" x14ac:dyDescent="0.25">
      <c r="A1148" s="10">
        <v>3939</v>
      </c>
      <c r="B1148" s="10" t="s">
        <v>1050</v>
      </c>
      <c r="C1148" t="s">
        <v>14</v>
      </c>
      <c r="E1148" t="s">
        <v>6</v>
      </c>
    </row>
    <row r="1149" spans="1:5" ht="15" hidden="1" x14ac:dyDescent="0.25">
      <c r="A1149" s="3">
        <v>4049</v>
      </c>
      <c r="B1149" s="4" t="s">
        <v>1051</v>
      </c>
      <c r="C1149" t="s">
        <v>14</v>
      </c>
      <c r="E1149" t="s">
        <v>6</v>
      </c>
    </row>
    <row r="1150" spans="1:5" ht="15" hidden="1" x14ac:dyDescent="0.25">
      <c r="A1150" s="3">
        <v>4050</v>
      </c>
      <c r="B1150" s="4" t="s">
        <v>1052</v>
      </c>
      <c r="C1150" t="s">
        <v>14</v>
      </c>
      <c r="E1150" t="s">
        <v>6</v>
      </c>
    </row>
    <row r="1151" spans="1:5" ht="15" hidden="1" x14ac:dyDescent="0.25">
      <c r="A1151" s="3">
        <v>4052</v>
      </c>
      <c r="B1151" s="4" t="s">
        <v>1053</v>
      </c>
      <c r="C1151" t="s">
        <v>14</v>
      </c>
      <c r="E1151" t="s">
        <v>6</v>
      </c>
    </row>
    <row r="1152" spans="1:5" ht="15" hidden="1" x14ac:dyDescent="0.25">
      <c r="A1152" s="11">
        <v>4054</v>
      </c>
      <c r="B1152" s="11" t="s">
        <v>1054</v>
      </c>
      <c r="C1152" t="s">
        <v>14</v>
      </c>
      <c r="E1152" t="s">
        <v>6</v>
      </c>
    </row>
    <row r="1153" spans="1:5" ht="15" hidden="1" x14ac:dyDescent="0.25">
      <c r="A1153" s="3">
        <v>3313</v>
      </c>
      <c r="B1153" s="4" t="s">
        <v>1055</v>
      </c>
      <c r="C1153" t="s">
        <v>14</v>
      </c>
      <c r="E1153" t="s">
        <v>6</v>
      </c>
    </row>
    <row r="1154" spans="1:5" ht="15" hidden="1" x14ac:dyDescent="0.25">
      <c r="A1154" s="3">
        <v>4053</v>
      </c>
      <c r="B1154" s="4" t="s">
        <v>1059</v>
      </c>
      <c r="C1154" t="s">
        <v>14</v>
      </c>
      <c r="E1154" t="s">
        <v>6</v>
      </c>
    </row>
    <row r="1155" spans="1:5" ht="15" hidden="1" x14ac:dyDescent="0.25">
      <c r="A1155" s="3">
        <v>3961</v>
      </c>
      <c r="B1155" s="4" t="s">
        <v>1058</v>
      </c>
      <c r="C1155" t="s">
        <v>14</v>
      </c>
      <c r="E1155" t="s">
        <v>6</v>
      </c>
    </row>
    <row r="1156" spans="1:5" ht="15" hidden="1" x14ac:dyDescent="0.25">
      <c r="A1156" s="3">
        <v>3959</v>
      </c>
      <c r="B1156" s="4" t="s">
        <v>1068</v>
      </c>
      <c r="C1156" t="s">
        <v>14</v>
      </c>
      <c r="E1156" t="s">
        <v>6</v>
      </c>
    </row>
    <row r="1157" spans="1:5" ht="15" hidden="1" x14ac:dyDescent="0.25">
      <c r="A1157" s="11">
        <v>4064</v>
      </c>
      <c r="B1157" s="11" t="s">
        <v>1057</v>
      </c>
      <c r="C1157" t="s">
        <v>14</v>
      </c>
      <c r="E1157" t="s">
        <v>6</v>
      </c>
    </row>
    <row r="1158" spans="1:5" ht="15" hidden="1" x14ac:dyDescent="0.25">
      <c r="A1158" s="3">
        <v>2175</v>
      </c>
      <c r="B1158" s="4" t="s">
        <v>974</v>
      </c>
      <c r="C1158" t="s">
        <v>14</v>
      </c>
      <c r="E1158" t="s">
        <v>6</v>
      </c>
    </row>
    <row r="1159" spans="1:5" ht="15" hidden="1" x14ac:dyDescent="0.25">
      <c r="A1159" s="3">
        <v>1817</v>
      </c>
      <c r="B1159" s="4" t="s">
        <v>1060</v>
      </c>
      <c r="C1159" t="s">
        <v>14</v>
      </c>
      <c r="E1159" t="s">
        <v>6</v>
      </c>
    </row>
    <row r="1160" spans="1:5" ht="15" hidden="1" x14ac:dyDescent="0.25">
      <c r="A1160" s="3">
        <v>1818</v>
      </c>
      <c r="B1160" s="4" t="s">
        <v>1061</v>
      </c>
      <c r="C1160" t="s">
        <v>14</v>
      </c>
      <c r="E1160" t="s">
        <v>6</v>
      </c>
    </row>
    <row r="1161" spans="1:5" ht="15" hidden="1" x14ac:dyDescent="0.25">
      <c r="A1161" s="3">
        <v>2082</v>
      </c>
      <c r="B1161" s="4" t="s">
        <v>1062</v>
      </c>
      <c r="C1161" t="s">
        <v>14</v>
      </c>
      <c r="E1161" t="s">
        <v>6</v>
      </c>
    </row>
    <row r="1162" spans="1:5" ht="15" hidden="1" x14ac:dyDescent="0.25">
      <c r="A1162" s="3">
        <v>1816</v>
      </c>
      <c r="B1162" s="4" t="s">
        <v>1063</v>
      </c>
      <c r="C1162" t="s">
        <v>14</v>
      </c>
      <c r="E1162" t="s">
        <v>6</v>
      </c>
    </row>
    <row r="1163" spans="1:5" ht="15" hidden="1" x14ac:dyDescent="0.25">
      <c r="A1163" s="3">
        <v>1815</v>
      </c>
      <c r="B1163" s="4" t="s">
        <v>1064</v>
      </c>
      <c r="C1163" t="s">
        <v>14</v>
      </c>
      <c r="E1163" t="s">
        <v>6</v>
      </c>
    </row>
    <row r="1164" spans="1:5" ht="15" hidden="1" x14ac:dyDescent="0.25">
      <c r="A1164" s="11">
        <v>1821</v>
      </c>
      <c r="B1164" s="11" t="s">
        <v>1065</v>
      </c>
      <c r="C1164" t="s">
        <v>14</v>
      </c>
      <c r="E1164" t="s">
        <v>6</v>
      </c>
    </row>
    <row r="1165" spans="1:5" ht="15" hidden="1" x14ac:dyDescent="0.25">
      <c r="A1165" s="3">
        <v>1820</v>
      </c>
      <c r="B1165" s="4" t="s">
        <v>1066</v>
      </c>
      <c r="C1165" t="s">
        <v>14</v>
      </c>
      <c r="E1165" t="s">
        <v>6</v>
      </c>
    </row>
    <row r="1166" spans="1:5" ht="15" hidden="1" x14ac:dyDescent="0.25">
      <c r="A1166" s="3">
        <v>3278</v>
      </c>
      <c r="B1166" s="4" t="s">
        <v>1067</v>
      </c>
      <c r="C1166" t="s">
        <v>14</v>
      </c>
      <c r="E1166" t="s">
        <v>6</v>
      </c>
    </row>
    <row r="1167" spans="1:5" ht="15" hidden="1" x14ac:dyDescent="0.25">
      <c r="A1167" s="3">
        <v>2943</v>
      </c>
      <c r="B1167" s="4" t="s">
        <v>577</v>
      </c>
      <c r="C1167">
        <v>0.95</v>
      </c>
      <c r="E1167" t="s">
        <v>6</v>
      </c>
    </row>
    <row r="1168" spans="1:5" ht="15" hidden="1" x14ac:dyDescent="0.25">
      <c r="A1168" s="3">
        <v>4093</v>
      </c>
      <c r="B1168" s="4" t="s">
        <v>1069</v>
      </c>
      <c r="C1168" t="s">
        <v>14</v>
      </c>
      <c r="E1168" t="s">
        <v>6</v>
      </c>
    </row>
    <row r="1169" spans="1:5" ht="15" hidden="1" x14ac:dyDescent="0.25">
      <c r="A1169" s="3">
        <v>4096</v>
      </c>
      <c r="B1169" s="4" t="s">
        <v>1070</v>
      </c>
      <c r="C1169" t="s">
        <v>14</v>
      </c>
      <c r="E1169" t="s">
        <v>6</v>
      </c>
    </row>
    <row r="1170" spans="1:5" ht="15" hidden="1" x14ac:dyDescent="0.25">
      <c r="A1170" s="3">
        <v>3944</v>
      </c>
      <c r="B1170" s="4" t="s">
        <v>1071</v>
      </c>
      <c r="E1170" t="s">
        <v>6</v>
      </c>
    </row>
    <row r="1171" spans="1:5" ht="15" hidden="1" x14ac:dyDescent="0.25">
      <c r="A1171" s="11">
        <v>3943</v>
      </c>
      <c r="B1171" s="11" t="s">
        <v>1072</v>
      </c>
      <c r="E1171" t="s">
        <v>6</v>
      </c>
    </row>
    <row r="1172" spans="1:5" ht="15" hidden="1" x14ac:dyDescent="0.25">
      <c r="A1172" s="11">
        <v>4233</v>
      </c>
      <c r="B1172" s="11" t="s">
        <v>1073</v>
      </c>
      <c r="E1172" t="s">
        <v>6</v>
      </c>
    </row>
    <row r="1173" spans="1:5" ht="15" hidden="1" x14ac:dyDescent="0.25">
      <c r="A1173" s="12">
        <v>4243</v>
      </c>
      <c r="B1173" s="12" t="s">
        <v>1074</v>
      </c>
      <c r="E1173" t="s">
        <v>6</v>
      </c>
    </row>
    <row r="1174" spans="1:5" ht="15" hidden="1" x14ac:dyDescent="0.25">
      <c r="A1174" s="12">
        <v>4063</v>
      </c>
      <c r="B1174" s="12" t="s">
        <v>1056</v>
      </c>
      <c r="C1174" t="s">
        <v>14</v>
      </c>
      <c r="E1174" t="s">
        <v>6</v>
      </c>
    </row>
    <row r="1175" spans="1:5" ht="15" hidden="1" x14ac:dyDescent="0.25">
      <c r="A1175" s="12">
        <v>1428</v>
      </c>
      <c r="B1175" s="12" t="s">
        <v>578</v>
      </c>
      <c r="C1175">
        <v>0</v>
      </c>
      <c r="E1175" t="s">
        <v>6</v>
      </c>
    </row>
    <row r="1176" spans="1:5" ht="15" hidden="1" x14ac:dyDescent="0.25">
      <c r="A1176" s="12">
        <v>4257</v>
      </c>
      <c r="B1176" s="12" t="s">
        <v>1077</v>
      </c>
      <c r="E1176" t="s">
        <v>6</v>
      </c>
    </row>
    <row r="1177" spans="1:5" ht="15" hidden="1" x14ac:dyDescent="0.25">
      <c r="A1177" s="12">
        <v>4258</v>
      </c>
      <c r="B1177" s="12" t="s">
        <v>1078</v>
      </c>
      <c r="E1177" t="s">
        <v>6</v>
      </c>
    </row>
    <row r="1178" spans="1:5" ht="15" hidden="1" x14ac:dyDescent="0.25">
      <c r="A1178" s="12">
        <v>4260</v>
      </c>
      <c r="B1178" s="12" t="s">
        <v>1079</v>
      </c>
      <c r="E1178" t="s">
        <v>6</v>
      </c>
    </row>
    <row r="1179" spans="1:5" ht="15" hidden="1" x14ac:dyDescent="0.25">
      <c r="A1179" s="18">
        <v>4317</v>
      </c>
      <c r="B1179" s="18" t="s">
        <v>1080</v>
      </c>
      <c r="E1179" t="s">
        <v>6</v>
      </c>
    </row>
    <row r="1180" spans="1:5" ht="15" hidden="1" x14ac:dyDescent="0.25">
      <c r="A1180" s="18">
        <v>1666</v>
      </c>
      <c r="B1180" s="18" t="s">
        <v>579</v>
      </c>
      <c r="C1180">
        <v>0</v>
      </c>
      <c r="E1180" t="s">
        <v>6</v>
      </c>
    </row>
    <row r="1181" spans="1:5" ht="15" hidden="1" x14ac:dyDescent="0.25">
      <c r="A1181" s="13">
        <v>4353</v>
      </c>
      <c r="B1181" s="13" t="s">
        <v>1310</v>
      </c>
      <c r="E1181" t="s">
        <v>6</v>
      </c>
    </row>
    <row r="1182" spans="1:5" ht="15" hidden="1" x14ac:dyDescent="0.25">
      <c r="A1182" s="13">
        <v>4354</v>
      </c>
      <c r="B1182" s="13" t="s">
        <v>1311</v>
      </c>
      <c r="E1182" t="s">
        <v>6</v>
      </c>
    </row>
    <row r="1183" spans="1:5" ht="15" hidden="1" x14ac:dyDescent="0.25">
      <c r="A1183" s="13">
        <v>4362</v>
      </c>
      <c r="B1183" s="13" t="s">
        <v>1312</v>
      </c>
      <c r="E1183" t="s">
        <v>6</v>
      </c>
    </row>
    <row r="1184" spans="1:5" ht="15" hidden="1" x14ac:dyDescent="0.25">
      <c r="A1184" s="13">
        <v>4363</v>
      </c>
      <c r="B1184" s="13" t="s">
        <v>1313</v>
      </c>
      <c r="E1184" t="s">
        <v>6</v>
      </c>
    </row>
    <row r="1185" spans="1:5" ht="15" hidden="1" x14ac:dyDescent="0.25">
      <c r="A1185" s="13">
        <v>4364</v>
      </c>
      <c r="B1185" s="13" t="s">
        <v>1314</v>
      </c>
      <c r="E1185" t="s">
        <v>6</v>
      </c>
    </row>
    <row r="1186" spans="1:5" ht="15" hidden="1" x14ac:dyDescent="0.25">
      <c r="A1186" s="13">
        <v>4461</v>
      </c>
      <c r="B1186" s="13" t="s">
        <v>1315</v>
      </c>
      <c r="E1186" t="s">
        <v>6</v>
      </c>
    </row>
    <row r="1187" spans="1:5" ht="15" hidden="1" x14ac:dyDescent="0.25">
      <c r="A1187" s="14">
        <v>4474</v>
      </c>
      <c r="B1187" s="14" t="s">
        <v>1316</v>
      </c>
      <c r="E1187" t="s">
        <v>6</v>
      </c>
    </row>
    <row r="1188" spans="1:5" ht="15" hidden="1" x14ac:dyDescent="0.25">
      <c r="A1188" s="14">
        <v>4475</v>
      </c>
      <c r="B1188" s="14" t="s">
        <v>1317</v>
      </c>
      <c r="E1188" t="s">
        <v>6</v>
      </c>
    </row>
    <row r="1189" spans="1:5" ht="15" hidden="1" x14ac:dyDescent="0.25">
      <c r="A1189" s="14">
        <v>3954</v>
      </c>
      <c r="B1189" s="14" t="s">
        <v>1318</v>
      </c>
      <c r="E1189" t="s">
        <v>6</v>
      </c>
    </row>
    <row r="1190" spans="1:5" ht="15" hidden="1" x14ac:dyDescent="0.25">
      <c r="A1190" s="14">
        <v>3955</v>
      </c>
      <c r="B1190" s="14" t="s">
        <v>1319</v>
      </c>
      <c r="E1190" t="s">
        <v>6</v>
      </c>
    </row>
    <row r="1191" spans="1:5" ht="15" hidden="1" x14ac:dyDescent="0.25">
      <c r="A1191" s="14">
        <v>4477</v>
      </c>
      <c r="B1191" s="14" t="s">
        <v>1320</v>
      </c>
      <c r="E1191" t="s">
        <v>6</v>
      </c>
    </row>
    <row r="1192" spans="1:5" ht="15" hidden="1" x14ac:dyDescent="0.25">
      <c r="A1192" s="14">
        <v>4478</v>
      </c>
      <c r="B1192" s="14" t="s">
        <v>1321</v>
      </c>
      <c r="E1192" t="s">
        <v>6</v>
      </c>
    </row>
    <row r="1193" spans="1:5" ht="15" hidden="1" x14ac:dyDescent="0.25">
      <c r="A1193" s="15">
        <v>4479</v>
      </c>
      <c r="B1193" s="15" t="s">
        <v>1322</v>
      </c>
      <c r="E1193" t="s">
        <v>6</v>
      </c>
    </row>
    <row r="1194" spans="1:5" ht="15" hidden="1" x14ac:dyDescent="0.25">
      <c r="A1194" s="15">
        <v>4480</v>
      </c>
      <c r="B1194" s="15" t="s">
        <v>1323</v>
      </c>
      <c r="E1194" t="s">
        <v>6</v>
      </c>
    </row>
    <row r="1195" spans="1:5" ht="15" hidden="1" x14ac:dyDescent="0.25">
      <c r="A1195" s="15">
        <v>4484</v>
      </c>
      <c r="B1195" s="15" t="s">
        <v>1324</v>
      </c>
      <c r="E1195" t="s">
        <v>6</v>
      </c>
    </row>
    <row r="1196" spans="1:5" ht="15" hidden="1" x14ac:dyDescent="0.25">
      <c r="A1196" s="15">
        <v>4485</v>
      </c>
      <c r="B1196" s="15" t="s">
        <v>1325</v>
      </c>
      <c r="E1196" t="s">
        <v>6</v>
      </c>
    </row>
    <row r="1197" spans="1:5" ht="15" hidden="1" x14ac:dyDescent="0.25">
      <c r="A1197" s="15">
        <v>4092</v>
      </c>
      <c r="B1197" s="15" t="s">
        <v>1326</v>
      </c>
      <c r="E1197" t="s">
        <v>6</v>
      </c>
    </row>
    <row r="1198" spans="1:5" ht="15" hidden="1" x14ac:dyDescent="0.25">
      <c r="A1198" s="15">
        <v>3277</v>
      </c>
      <c r="B1198" s="15" t="s">
        <v>1327</v>
      </c>
      <c r="E1198" t="s">
        <v>6</v>
      </c>
    </row>
    <row r="1199" spans="1:5" ht="15" hidden="1" x14ac:dyDescent="0.25">
      <c r="A1199" s="16">
        <v>3271</v>
      </c>
      <c r="B1199" s="16" t="s">
        <v>1328</v>
      </c>
      <c r="E1199" t="s">
        <v>6</v>
      </c>
    </row>
    <row r="1200" spans="1:5" ht="15" hidden="1" x14ac:dyDescent="0.25">
      <c r="A1200" s="16">
        <v>3279</v>
      </c>
      <c r="B1200" s="16" t="s">
        <v>1329</v>
      </c>
      <c r="E1200" t="s">
        <v>6</v>
      </c>
    </row>
    <row r="1201" spans="1:5" ht="15" hidden="1" x14ac:dyDescent="0.25">
      <c r="A1201" s="16">
        <v>3266</v>
      </c>
      <c r="B1201" s="16" t="s">
        <v>1330</v>
      </c>
      <c r="E1201" t="s">
        <v>6</v>
      </c>
    </row>
    <row r="1202" spans="1:5" ht="15" hidden="1" x14ac:dyDescent="0.25">
      <c r="A1202" s="16">
        <v>3284</v>
      </c>
      <c r="B1202" s="16" t="s">
        <v>1331</v>
      </c>
      <c r="E1202" t="s">
        <v>6</v>
      </c>
    </row>
    <row r="1203" spans="1:5" ht="15" x14ac:dyDescent="0.25">
      <c r="A1203" s="17">
        <v>3957</v>
      </c>
      <c r="B1203" s="17" t="s">
        <v>1332</v>
      </c>
      <c r="E1203" t="s">
        <v>6</v>
      </c>
    </row>
    <row r="1204" spans="1:5" ht="15" x14ac:dyDescent="0.25">
      <c r="A1204" s="17">
        <v>3272</v>
      </c>
      <c r="B1204" s="17" t="s">
        <v>1333</v>
      </c>
      <c r="E1204" t="s">
        <v>6</v>
      </c>
    </row>
    <row r="1205" spans="1:5" ht="15" x14ac:dyDescent="0.25">
      <c r="A1205" s="17">
        <v>3352</v>
      </c>
      <c r="B1205" s="17" t="s">
        <v>1334</v>
      </c>
      <c r="E1205" t="s">
        <v>6</v>
      </c>
    </row>
    <row r="1206" spans="1:5" ht="15" x14ac:dyDescent="0.25">
      <c r="A1206" s="17">
        <v>3303</v>
      </c>
      <c r="B1206" s="17" t="s">
        <v>1335</v>
      </c>
      <c r="E1206" t="s">
        <v>6</v>
      </c>
    </row>
    <row r="1207" spans="1:5" ht="15" x14ac:dyDescent="0.25">
      <c r="A1207" s="17">
        <v>4345</v>
      </c>
      <c r="B1207" s="17" t="s">
        <v>1336</v>
      </c>
      <c r="E1207" t="s">
        <v>6</v>
      </c>
    </row>
    <row r="1208" spans="1:5" ht="15" hidden="1" x14ac:dyDescent="0.25">
      <c r="A1208" s="18">
        <v>4026</v>
      </c>
      <c r="B1208" s="18" t="s">
        <v>1337</v>
      </c>
      <c r="E1208" t="s">
        <v>6</v>
      </c>
    </row>
    <row r="1209" spans="1:5" ht="15" hidden="1" x14ac:dyDescent="0.25">
      <c r="A1209" s="18">
        <v>4572</v>
      </c>
      <c r="B1209" s="18" t="s">
        <v>1338</v>
      </c>
      <c r="E1209" t="s">
        <v>6</v>
      </c>
    </row>
    <row r="1210" spans="1:5" ht="15" hidden="1" x14ac:dyDescent="0.25">
      <c r="A1210" s="18">
        <v>803035</v>
      </c>
      <c r="B1210" s="18" t="s">
        <v>1339</v>
      </c>
      <c r="E1210" t="s">
        <v>6</v>
      </c>
    </row>
    <row r="1211" spans="1:5" ht="15" hidden="1" x14ac:dyDescent="0.25">
      <c r="A1211" s="18">
        <v>4573</v>
      </c>
      <c r="B1211" s="18" t="s">
        <v>1340</v>
      </c>
      <c r="E1211" t="s">
        <v>6</v>
      </c>
    </row>
    <row r="1212" spans="1:5" ht="15" hidden="1" x14ac:dyDescent="0.25">
      <c r="A1212" s="18">
        <v>4677</v>
      </c>
      <c r="B1212" s="18" t="s">
        <v>1341</v>
      </c>
      <c r="E1212" t="s">
        <v>6</v>
      </c>
    </row>
    <row r="1213" spans="1:5" ht="15" hidden="1" x14ac:dyDescent="0.25">
      <c r="A1213" s="18">
        <v>4633</v>
      </c>
      <c r="B1213" s="18" t="s">
        <v>1286</v>
      </c>
      <c r="E1213" t="s">
        <v>6</v>
      </c>
    </row>
    <row r="1214" spans="1:5" ht="15" hidden="1" x14ac:dyDescent="0.25">
      <c r="A1214" s="18">
        <v>4634</v>
      </c>
      <c r="B1214" s="18" t="s">
        <v>1287</v>
      </c>
      <c r="E1214" t="s">
        <v>6</v>
      </c>
    </row>
    <row r="1215" spans="1:5" ht="15" hidden="1" x14ac:dyDescent="0.25">
      <c r="A1215" s="18">
        <v>3179</v>
      </c>
      <c r="B1215" s="18" t="s">
        <v>741</v>
      </c>
      <c r="E1215" t="s">
        <v>6</v>
      </c>
    </row>
    <row r="1216" spans="1:5" ht="15" hidden="1" x14ac:dyDescent="0.25">
      <c r="A1216" s="18">
        <v>3180</v>
      </c>
      <c r="B1216" s="18" t="s">
        <v>740</v>
      </c>
      <c r="E1216" t="s">
        <v>6</v>
      </c>
    </row>
    <row r="1217" spans="1:5" ht="15" hidden="1" x14ac:dyDescent="0.25">
      <c r="A1217" s="18">
        <v>933035</v>
      </c>
      <c r="B1217" s="18" t="s">
        <v>82</v>
      </c>
      <c r="E1217" t="s">
        <v>6</v>
      </c>
    </row>
    <row r="1218" spans="1:5" ht="15" hidden="1" x14ac:dyDescent="0.25">
      <c r="A1218" s="18">
        <v>935075</v>
      </c>
      <c r="B1218" s="18" t="s">
        <v>1342</v>
      </c>
      <c r="E1218" t="s">
        <v>6</v>
      </c>
    </row>
    <row r="1219" spans="1:5" ht="15" hidden="1" x14ac:dyDescent="0.25">
      <c r="A1219" s="18">
        <v>943090</v>
      </c>
      <c r="B1219" s="18" t="s">
        <v>1343</v>
      </c>
      <c r="E1219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horizontalDpi="203" verticalDpi="20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7BE8-75F5-40CB-9BB9-74D2D7278535}">
  <sheetPr codeName="Planilha4"/>
  <dimension ref="A1:C29"/>
  <sheetViews>
    <sheetView topLeftCell="A7" workbookViewId="0"/>
  </sheetViews>
  <sheetFormatPr defaultRowHeight="15" x14ac:dyDescent="0.25"/>
  <cols>
    <col min="1" max="1" width="26.140625" bestFit="1" customWidth="1"/>
    <col min="2" max="2" width="24" bestFit="1" customWidth="1"/>
    <col min="3" max="3" width="26.7109375" bestFit="1" customWidth="1"/>
    <col min="4" max="4" width="24.5703125" bestFit="1" customWidth="1"/>
    <col min="5" max="5" width="20.42578125" bestFit="1" customWidth="1"/>
  </cols>
  <sheetData>
    <row r="1" spans="1:3" x14ac:dyDescent="0.25">
      <c r="A1" t="s">
        <v>1185</v>
      </c>
      <c r="B1" t="s">
        <v>1186</v>
      </c>
      <c r="C1" s="35" t="s">
        <v>1187</v>
      </c>
    </row>
    <row r="2" spans="1:3" x14ac:dyDescent="0.25">
      <c r="A2" s="7" t="s">
        <v>1087</v>
      </c>
      <c r="B2" s="24">
        <v>1584</v>
      </c>
      <c r="C2" s="34">
        <v>180</v>
      </c>
    </row>
    <row r="3" spans="1:3" x14ac:dyDescent="0.25">
      <c r="A3" s="7" t="s">
        <v>1096</v>
      </c>
      <c r="B3" s="7">
        <v>1300</v>
      </c>
      <c r="C3" s="36"/>
    </row>
    <row r="4" spans="1:3" x14ac:dyDescent="0.25">
      <c r="A4" s="7" t="s">
        <v>1091</v>
      </c>
      <c r="B4" s="7">
        <v>1650</v>
      </c>
      <c r="C4" s="36"/>
    </row>
    <row r="5" spans="1:3" x14ac:dyDescent="0.25">
      <c r="A5" s="8" t="s">
        <v>1101</v>
      </c>
      <c r="B5" s="25">
        <v>1584</v>
      </c>
      <c r="C5" s="34">
        <v>180</v>
      </c>
    </row>
    <row r="6" spans="1:3" x14ac:dyDescent="0.25">
      <c r="A6" s="8" t="s">
        <v>1103</v>
      </c>
      <c r="B6" s="8">
        <v>1200</v>
      </c>
      <c r="C6" s="36"/>
    </row>
    <row r="7" spans="1:3" x14ac:dyDescent="0.25">
      <c r="A7" s="8" t="s">
        <v>1104</v>
      </c>
      <c r="B7" s="8">
        <v>1300</v>
      </c>
      <c r="C7" s="36"/>
    </row>
    <row r="8" spans="1:3" x14ac:dyDescent="0.25">
      <c r="A8" s="9" t="s">
        <v>1106</v>
      </c>
      <c r="B8" s="26">
        <v>1000</v>
      </c>
      <c r="C8" s="34">
        <v>180</v>
      </c>
    </row>
    <row r="9" spans="1:3" x14ac:dyDescent="0.25">
      <c r="A9" s="9" t="s">
        <v>1085</v>
      </c>
      <c r="B9" s="9">
        <v>844</v>
      </c>
      <c r="C9" s="36"/>
    </row>
    <row r="10" spans="1:3" x14ac:dyDescent="0.25">
      <c r="A10" s="9" t="s">
        <v>1108</v>
      </c>
      <c r="B10" s="9">
        <v>700</v>
      </c>
      <c r="C10" s="36"/>
    </row>
    <row r="11" spans="1:3" x14ac:dyDescent="0.25">
      <c r="A11" s="10" t="s">
        <v>1086</v>
      </c>
      <c r="B11" s="27">
        <v>1584</v>
      </c>
      <c r="C11" s="34">
        <v>180</v>
      </c>
    </row>
    <row r="12" spans="1:3" x14ac:dyDescent="0.25">
      <c r="A12" s="10" t="s">
        <v>1094</v>
      </c>
      <c r="B12" s="10">
        <v>900</v>
      </c>
      <c r="C12" s="36"/>
    </row>
    <row r="13" spans="1:3" x14ac:dyDescent="0.25">
      <c r="A13" s="10" t="s">
        <v>1090</v>
      </c>
      <c r="B13" s="10">
        <v>800</v>
      </c>
      <c r="C13" s="36"/>
    </row>
    <row r="14" spans="1:3" x14ac:dyDescent="0.25">
      <c r="A14" s="11" t="s">
        <v>1111</v>
      </c>
      <c r="B14" s="28">
        <v>500</v>
      </c>
      <c r="C14" s="34">
        <v>60</v>
      </c>
    </row>
    <row r="15" spans="1:3" x14ac:dyDescent="0.25">
      <c r="A15" s="11" t="s">
        <v>1113</v>
      </c>
      <c r="B15" s="11">
        <v>280</v>
      </c>
      <c r="C15" s="36"/>
    </row>
    <row r="16" spans="1:3" x14ac:dyDescent="0.25">
      <c r="A16" s="11" t="s">
        <v>1114</v>
      </c>
      <c r="B16" s="11">
        <v>340</v>
      </c>
      <c r="C16" s="36"/>
    </row>
    <row r="17" spans="1:3" x14ac:dyDescent="0.25">
      <c r="A17" s="13" t="s">
        <v>1122</v>
      </c>
      <c r="B17" s="13">
        <v>2156</v>
      </c>
      <c r="C17" s="34">
        <v>245</v>
      </c>
    </row>
    <row r="18" spans="1:3" x14ac:dyDescent="0.25">
      <c r="A18" s="13" t="s">
        <v>1124</v>
      </c>
      <c r="B18" s="29">
        <v>1584</v>
      </c>
      <c r="C18" s="34">
        <v>180</v>
      </c>
    </row>
    <row r="19" spans="1:3" x14ac:dyDescent="0.25">
      <c r="A19" s="13" t="s">
        <v>1126</v>
      </c>
      <c r="B19" s="13">
        <v>2432</v>
      </c>
      <c r="C19" s="36"/>
    </row>
    <row r="20" spans="1:3" x14ac:dyDescent="0.25">
      <c r="A20" s="14" t="s">
        <v>1095</v>
      </c>
      <c r="B20" s="14">
        <v>2600</v>
      </c>
      <c r="C20" s="36"/>
    </row>
    <row r="21" spans="1:3" x14ac:dyDescent="0.25">
      <c r="A21" s="14" t="s">
        <v>1089</v>
      </c>
      <c r="B21" s="30">
        <v>1584</v>
      </c>
      <c r="C21" s="34">
        <v>180</v>
      </c>
    </row>
    <row r="22" spans="1:3" x14ac:dyDescent="0.25">
      <c r="A22" s="14" t="s">
        <v>1097</v>
      </c>
      <c r="B22" s="14">
        <v>2432</v>
      </c>
      <c r="C22" s="36"/>
    </row>
    <row r="23" spans="1:3" x14ac:dyDescent="0.25">
      <c r="A23" s="15" t="s">
        <v>1134</v>
      </c>
      <c r="B23" s="15">
        <v>1584</v>
      </c>
      <c r="C23" s="36"/>
    </row>
    <row r="24" spans="1:3" x14ac:dyDescent="0.25">
      <c r="A24" s="15" t="s">
        <v>1133</v>
      </c>
      <c r="B24" s="31"/>
      <c r="C24" s="34">
        <v>180</v>
      </c>
    </row>
    <row r="25" spans="1:3" x14ac:dyDescent="0.25">
      <c r="A25" s="15" t="s">
        <v>1136</v>
      </c>
      <c r="B25" s="15">
        <v>1000</v>
      </c>
      <c r="C25" s="36"/>
    </row>
    <row r="26" spans="1:3" x14ac:dyDescent="0.25">
      <c r="A26" s="16" t="s">
        <v>1137</v>
      </c>
      <c r="B26" s="32">
        <v>1250</v>
      </c>
      <c r="C26" s="34">
        <v>144</v>
      </c>
    </row>
    <row r="27" spans="1:3" x14ac:dyDescent="0.25">
      <c r="A27" s="16" t="s">
        <v>1139</v>
      </c>
      <c r="B27" s="16">
        <v>950</v>
      </c>
      <c r="C27" s="36"/>
    </row>
    <row r="28" spans="1:3" x14ac:dyDescent="0.25">
      <c r="A28" s="17" t="s">
        <v>1140</v>
      </c>
      <c r="B28" s="17">
        <v>2000</v>
      </c>
      <c r="C28" s="36"/>
    </row>
    <row r="29" spans="1:3" x14ac:dyDescent="0.25">
      <c r="A29" s="17" t="s">
        <v>1142</v>
      </c>
      <c r="B29" s="33">
        <v>2500</v>
      </c>
      <c r="C29" s="34">
        <v>180</v>
      </c>
    </row>
  </sheetData>
  <autoFilter ref="A1:C29" xr:uid="{9B357BE8-75F5-40CB-9BB9-74D2D7278535}"/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91D9-C9CA-4F07-9099-6B14D458B406}">
  <dimension ref="A3:B23"/>
  <sheetViews>
    <sheetView topLeftCell="A13" workbookViewId="0">
      <selection activeCell="D20" sqref="D20"/>
    </sheetView>
  </sheetViews>
  <sheetFormatPr defaultRowHeight="15" x14ac:dyDescent="0.25"/>
  <cols>
    <col min="1" max="1" width="30.28515625" bestFit="1" customWidth="1"/>
    <col min="2" max="2" width="24.140625" bestFit="1" customWidth="1"/>
  </cols>
  <sheetData>
    <row r="3" spans="1:2" x14ac:dyDescent="0.25">
      <c r="A3" s="38" t="s">
        <v>1216</v>
      </c>
      <c r="B3" t="s">
        <v>1218</v>
      </c>
    </row>
    <row r="4" spans="1:2" x14ac:dyDescent="0.25">
      <c r="A4" s="39" t="s">
        <v>1192</v>
      </c>
      <c r="B4">
        <v>1005</v>
      </c>
    </row>
    <row r="5" spans="1:2" x14ac:dyDescent="0.25">
      <c r="A5" s="39" t="s">
        <v>1344</v>
      </c>
      <c r="B5">
        <v>1068</v>
      </c>
    </row>
    <row r="6" spans="1:2" x14ac:dyDescent="0.25">
      <c r="A6" s="40" t="s">
        <v>1164</v>
      </c>
      <c r="B6">
        <v>1068</v>
      </c>
    </row>
    <row r="7" spans="1:2" x14ac:dyDescent="0.25">
      <c r="A7" s="41" t="s">
        <v>1139</v>
      </c>
      <c r="B7">
        <v>1068</v>
      </c>
    </row>
    <row r="8" spans="1:2" x14ac:dyDescent="0.25">
      <c r="A8" s="39" t="s">
        <v>1182</v>
      </c>
      <c r="B8">
        <v>1400</v>
      </c>
    </row>
    <row r="9" spans="1:2" x14ac:dyDescent="0.25">
      <c r="A9" s="40" t="s">
        <v>1157</v>
      </c>
      <c r="B9">
        <v>1400</v>
      </c>
    </row>
    <row r="10" spans="1:2" x14ac:dyDescent="0.25">
      <c r="A10" s="41" t="s">
        <v>1124</v>
      </c>
      <c r="B10">
        <v>1400</v>
      </c>
    </row>
    <row r="11" spans="1:2" x14ac:dyDescent="0.25">
      <c r="A11" s="39" t="s">
        <v>1191</v>
      </c>
      <c r="B11">
        <v>840</v>
      </c>
    </row>
    <row r="12" spans="1:2" x14ac:dyDescent="0.25">
      <c r="A12" s="40" t="s">
        <v>1162</v>
      </c>
      <c r="B12">
        <v>840</v>
      </c>
    </row>
    <row r="13" spans="1:2" x14ac:dyDescent="0.25">
      <c r="A13" s="41" t="s">
        <v>1103</v>
      </c>
      <c r="B13">
        <v>840</v>
      </c>
    </row>
    <row r="14" spans="1:2" x14ac:dyDescent="0.25">
      <c r="A14" s="39" t="s">
        <v>1350</v>
      </c>
      <c r="B14">
        <v>930</v>
      </c>
    </row>
    <row r="15" spans="1:2" x14ac:dyDescent="0.25">
      <c r="A15" s="40" t="s">
        <v>1167</v>
      </c>
      <c r="B15">
        <v>930</v>
      </c>
    </row>
    <row r="16" spans="1:2" x14ac:dyDescent="0.25">
      <c r="A16" s="41" t="s">
        <v>1108</v>
      </c>
      <c r="B16">
        <v>930</v>
      </c>
    </row>
    <row r="17" spans="1:2" x14ac:dyDescent="0.25">
      <c r="A17" s="39" t="s">
        <v>1194</v>
      </c>
      <c r="B17">
        <v>1121</v>
      </c>
    </row>
    <row r="18" spans="1:2" x14ac:dyDescent="0.25">
      <c r="A18" s="40" t="s">
        <v>1163</v>
      </c>
      <c r="B18">
        <v>1121</v>
      </c>
    </row>
    <row r="19" spans="1:2" x14ac:dyDescent="0.25">
      <c r="A19" s="41" t="s">
        <v>1122</v>
      </c>
      <c r="B19">
        <v>1121</v>
      </c>
    </row>
    <row r="20" spans="1:2" x14ac:dyDescent="0.25">
      <c r="A20" s="39" t="s">
        <v>1181</v>
      </c>
      <c r="B20">
        <v>1456</v>
      </c>
    </row>
    <row r="21" spans="1:2" x14ac:dyDescent="0.25">
      <c r="A21" s="40" t="s">
        <v>1160</v>
      </c>
      <c r="B21">
        <v>1456</v>
      </c>
    </row>
    <row r="22" spans="1:2" x14ac:dyDescent="0.25">
      <c r="A22" s="41" t="s">
        <v>1087</v>
      </c>
      <c r="B22">
        <v>1456</v>
      </c>
    </row>
    <row r="23" spans="1:2" x14ac:dyDescent="0.25">
      <c r="A23" s="39" t="s">
        <v>1217</v>
      </c>
      <c r="B23">
        <v>7820</v>
      </c>
    </row>
  </sheetData>
  <pageMargins left="0.511811024" right="0.511811024" top="0.78740157499999996" bottom="0.78740157499999996" header="0.31496062000000002" footer="0.31496062000000002"/>
  <pageSetup paperSize="9" orientation="portrait" horizontalDpi="203" verticalDpi="203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DD69-8FA6-4EC2-A4DB-E1A941BD5B69}">
  <dimension ref="A2:AA47"/>
  <sheetViews>
    <sheetView showGridLines="0" zoomScale="85" zoomScaleNormal="85" workbookViewId="0">
      <selection activeCell="A6" sqref="A6"/>
    </sheetView>
  </sheetViews>
  <sheetFormatPr defaultRowHeight="15" x14ac:dyDescent="0.25"/>
  <cols>
    <col min="1" max="1" width="15.140625" bestFit="1" customWidth="1"/>
    <col min="2" max="2" width="13.5703125" bestFit="1" customWidth="1"/>
    <col min="3" max="3" width="13.7109375" customWidth="1"/>
    <col min="4" max="4" width="10.42578125" bestFit="1" customWidth="1"/>
    <col min="5" max="5" width="11.140625" bestFit="1" customWidth="1"/>
    <col min="6" max="6" width="3.28515625" customWidth="1"/>
    <col min="7" max="7" width="15.140625" bestFit="1" customWidth="1"/>
    <col min="10" max="10" width="10.42578125" bestFit="1" customWidth="1"/>
  </cols>
  <sheetData>
    <row r="2" spans="1:27" ht="18.75" x14ac:dyDescent="0.3">
      <c r="A2" s="209" t="s">
        <v>1199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10"/>
      <c r="Y2" s="206">
        <v>46007</v>
      </c>
      <c r="Z2" s="207"/>
      <c r="AA2" s="208"/>
    </row>
    <row r="3" spans="1:27" x14ac:dyDescent="0.25">
      <c r="E3" t="s">
        <v>1197</v>
      </c>
    </row>
    <row r="4" spans="1:27" x14ac:dyDescent="0.25">
      <c r="A4" t="s">
        <v>1188</v>
      </c>
      <c r="B4" t="s">
        <v>1197</v>
      </c>
      <c r="D4" t="s">
        <v>1201</v>
      </c>
      <c r="E4" s="37">
        <f>SUMIFS(BD_LANÇAMENTOS!D:D,BD_LANÇAMENTOS!M:M,D4,BD_LANÇAMENTOS!O:O,$A$4)</f>
        <v>0</v>
      </c>
    </row>
    <row r="5" spans="1:27" x14ac:dyDescent="0.25">
      <c r="A5" t="s">
        <v>1184</v>
      </c>
      <c r="B5" s="37">
        <f>SUMIFS(BD_LANÇAMENTOS!D:D,BD_LANÇAMENTOS!C:C,A5,BD_LANÇAMENTOS!N:N,PROJETO!$Y$2,BD_LANÇAMENTOS!O:O,$A$4)</f>
        <v>0</v>
      </c>
      <c r="C5" s="37"/>
      <c r="D5" t="s">
        <v>1202</v>
      </c>
      <c r="E5" s="37">
        <f>SUMIFS(BD_LANÇAMENTOS!D:D,BD_LANÇAMENTOS!M:M,D5,BD_LANÇAMENTOS!O:O,$A$4)</f>
        <v>0</v>
      </c>
    </row>
    <row r="6" spans="1:27" x14ac:dyDescent="0.25">
      <c r="A6" t="s">
        <v>1219</v>
      </c>
      <c r="B6" s="37">
        <f>SUMIFS(BD_LANÇAMENTOS!D:D,BD_LANÇAMENTOS!C:C,A6,BD_LANÇAMENTOS!N:N,PROJETO!$Y$2,BD_LANÇAMENTOS!O:O,$A$4)</f>
        <v>0</v>
      </c>
      <c r="C6" s="37"/>
      <c r="D6" t="s">
        <v>1203</v>
      </c>
      <c r="E6" s="37">
        <f>SUMIFS(BD_LANÇAMENTOS!D:D,BD_LANÇAMENTOS!M:M,D6,BD_LANÇAMENTOS!O:O,$A$4)</f>
        <v>0</v>
      </c>
    </row>
    <row r="7" spans="1:27" x14ac:dyDescent="0.25">
      <c r="A7" t="s">
        <v>1154</v>
      </c>
      <c r="B7" s="37">
        <f>SUMIFS(BD_LANÇAMENTOS!D:D,BD_LANÇAMENTOS!C:C,A7,BD_LANÇAMENTOS!N:N,PROJETO!$Y$2,BD_LANÇAMENTOS!O:O,$A$4)</f>
        <v>0</v>
      </c>
      <c r="C7" s="37"/>
      <c r="D7" t="s">
        <v>1204</v>
      </c>
      <c r="E7" s="37">
        <f>SUMIFS(BD_LANÇAMENTOS!D:D,BD_LANÇAMENTOS!M:M,D7,BD_LANÇAMENTOS!O:O,$A$4)</f>
        <v>0</v>
      </c>
    </row>
    <row r="8" spans="1:27" x14ac:dyDescent="0.25">
      <c r="A8" t="s">
        <v>1181</v>
      </c>
      <c r="B8" s="37">
        <f>SUMIFS(BD_LANÇAMENTOS!D:D,BD_LANÇAMENTOS!C:C,A8,BD_LANÇAMENTOS!N:N,PROJETO!$Y$2,BD_LANÇAMENTOS!O:O,$A$4)</f>
        <v>0</v>
      </c>
      <c r="C8" s="37"/>
      <c r="D8" t="s">
        <v>1205</v>
      </c>
      <c r="E8" s="37">
        <f>SUMIFS(BD_LANÇAMENTOS!D:D,BD_LANÇAMENTOS!M:M,D8,BD_LANÇAMENTOS!O:O,$A$4)</f>
        <v>0</v>
      </c>
    </row>
    <row r="9" spans="1:27" x14ac:dyDescent="0.25">
      <c r="A9" t="s">
        <v>1182</v>
      </c>
      <c r="B9" s="37">
        <f>SUMIFS(BD_LANÇAMENTOS!D:D,BD_LANÇAMENTOS!C:C,A9,BD_LANÇAMENTOS!N:N,PROJETO!$Y$2,BD_LANÇAMENTOS!O:O,$A$4)</f>
        <v>0</v>
      </c>
      <c r="C9" s="37"/>
      <c r="D9" t="s">
        <v>1206</v>
      </c>
      <c r="E9" s="37">
        <f>SUMIFS(BD_LANÇAMENTOS!D:D,BD_LANÇAMENTOS!M:M,D9,BD_LANÇAMENTOS!O:O,$A$4)</f>
        <v>0</v>
      </c>
    </row>
    <row r="10" spans="1:27" x14ac:dyDescent="0.25">
      <c r="A10" t="s">
        <v>1183</v>
      </c>
      <c r="B10" s="37">
        <f>SUMIFS(BD_LANÇAMENTOS!D:D,BD_LANÇAMENTOS!C:C,A10,BD_LANÇAMENTOS!N:N,PROJETO!$Y$2,BD_LANÇAMENTOS!O:O,$A$4)</f>
        <v>0</v>
      </c>
      <c r="C10" s="37"/>
      <c r="D10" t="s">
        <v>1207</v>
      </c>
      <c r="E10" s="37">
        <f>SUMIFS(BD_LANÇAMENTOS!D:D,BD_LANÇAMENTOS!M:M,D10,BD_LANÇAMENTOS!O:O,$A$4)</f>
        <v>0</v>
      </c>
    </row>
    <row r="11" spans="1:27" x14ac:dyDescent="0.25">
      <c r="D11" t="s">
        <v>1208</v>
      </c>
      <c r="E11" s="37">
        <f>SUMIFS(BD_LANÇAMENTOS!D:D,BD_LANÇAMENTOS!M:M,D11,BD_LANÇAMENTOS!O:O,$A$4)</f>
        <v>0</v>
      </c>
    </row>
    <row r="12" spans="1:27" x14ac:dyDescent="0.25">
      <c r="D12" t="s">
        <v>1209</v>
      </c>
      <c r="E12" s="37">
        <f>SUMIFS(BD_LANÇAMENTOS!D:D,BD_LANÇAMENTOS!M:M,D12,BD_LANÇAMENTOS!O:O,$A$4)</f>
        <v>0</v>
      </c>
    </row>
    <row r="13" spans="1:27" x14ac:dyDescent="0.25">
      <c r="D13" t="s">
        <v>1210</v>
      </c>
      <c r="E13" s="37">
        <f>SUMIFS(BD_LANÇAMENTOS!D:D,BD_LANÇAMENTOS!M:M,D13,BD_LANÇAMENTOS!O:O,$A$4)</f>
        <v>0</v>
      </c>
    </row>
    <row r="14" spans="1:27" x14ac:dyDescent="0.25">
      <c r="D14" t="s">
        <v>1211</v>
      </c>
      <c r="E14" s="37">
        <f>SUMIFS(BD_LANÇAMENTOS!D:D,BD_LANÇAMENTOS!M:M,D14,BD_LANÇAMENTOS!O:O,$A$4)</f>
        <v>0</v>
      </c>
    </row>
    <row r="15" spans="1:27" x14ac:dyDescent="0.25">
      <c r="D15" t="s">
        <v>1212</v>
      </c>
      <c r="E15" s="37">
        <f>SUMIFS(BD_LANÇAMENTOS!D:D,BD_LANÇAMENTOS!M:M,D15,BD_LANÇAMENTOS!O:O,$A$4)</f>
        <v>0</v>
      </c>
    </row>
    <row r="21" spans="1:5" x14ac:dyDescent="0.25">
      <c r="E21" t="s">
        <v>1197</v>
      </c>
    </row>
    <row r="22" spans="1:5" x14ac:dyDescent="0.25">
      <c r="A22" t="s">
        <v>1189</v>
      </c>
      <c r="B22" t="s">
        <v>1198</v>
      </c>
      <c r="D22" t="s">
        <v>1201</v>
      </c>
      <c r="E22" s="37">
        <f>SUMIFS(BD_LANÇAMENTOS!D:D,BD_LANÇAMENTOS!M:M,D22,BD_LANÇAMENTOS!O:O,$A$22)</f>
        <v>0</v>
      </c>
    </row>
    <row r="23" spans="1:5" x14ac:dyDescent="0.25">
      <c r="A23" t="s">
        <v>1155</v>
      </c>
      <c r="B23" s="37">
        <f>SUMIFS(BD_LANÇAMENTOS!D:D,BD_LANÇAMENTOS!C:C,A23,BD_LANÇAMENTOS!N:N,PROJETO!$Y$2,BD_LANÇAMENTOS!O:O,$A$22)</f>
        <v>0</v>
      </c>
      <c r="C23" s="37"/>
      <c r="D23" t="s">
        <v>1202</v>
      </c>
      <c r="E23" s="37">
        <f>SUMIFS(BD_LANÇAMENTOS!D:D,BD_LANÇAMENTOS!M:M,D23,BD_LANÇAMENTOS!O:O,$A$22)</f>
        <v>0</v>
      </c>
    </row>
    <row r="24" spans="1:5" x14ac:dyDescent="0.25">
      <c r="A24" t="s">
        <v>1151</v>
      </c>
      <c r="B24" s="37">
        <f>SUMIFS(BD_LANÇAMENTOS!D:D,BD_LANÇAMENTOS!C:C,A24,BD_LANÇAMENTOS!N:N,PROJETO!$Y$2,BD_LANÇAMENTOS!O:O,$A$22)</f>
        <v>0</v>
      </c>
      <c r="C24" s="37"/>
      <c r="D24" t="s">
        <v>1203</v>
      </c>
      <c r="E24" s="37">
        <f>SUMIFS(BD_LANÇAMENTOS!D:D,BD_LANÇAMENTOS!M:M,D24,BD_LANÇAMENTOS!O:O,$A$22)</f>
        <v>0</v>
      </c>
    </row>
    <row r="25" spans="1:5" x14ac:dyDescent="0.25">
      <c r="A25" t="s">
        <v>1154</v>
      </c>
      <c r="B25" s="37">
        <f>SUMIFS(BD_LANÇAMENTOS!D:D,BD_LANÇAMENTOS!C:C,A25,BD_LANÇAMENTOS!N:N,PROJETO!$Y$2,BD_LANÇAMENTOS!O:O,$A$22)</f>
        <v>0</v>
      </c>
      <c r="C25" s="37"/>
      <c r="D25" t="s">
        <v>1204</v>
      </c>
      <c r="E25" s="37">
        <f>SUMIFS(BD_LANÇAMENTOS!D:D,BD_LANÇAMENTOS!M:M,D25,BD_LANÇAMENTOS!O:O,$A$22)</f>
        <v>0</v>
      </c>
    </row>
    <row r="26" spans="1:5" x14ac:dyDescent="0.25">
      <c r="A26" t="s">
        <v>1193</v>
      </c>
      <c r="B26" s="37">
        <f>SUMIFS(BD_LANÇAMENTOS!D:D,BD_LANÇAMENTOS!C:C,A26,BD_LANÇAMENTOS!N:N,PROJETO!$Y$2,BD_LANÇAMENTOS!O:O,$A$22)</f>
        <v>0</v>
      </c>
      <c r="C26" s="37"/>
      <c r="D26" t="s">
        <v>1205</v>
      </c>
      <c r="E26" s="37">
        <f>SUMIFS(BD_LANÇAMENTOS!D:D,BD_LANÇAMENTOS!M:M,D26,BD_LANÇAMENTOS!O:O,$A$22)</f>
        <v>0</v>
      </c>
    </row>
    <row r="27" spans="1:5" x14ac:dyDescent="0.25">
      <c r="A27" t="s">
        <v>1194</v>
      </c>
      <c r="B27" s="37">
        <f>SUMIFS(BD_LANÇAMENTOS!D:D,BD_LANÇAMENTOS!C:C,A27,BD_LANÇAMENTOS!N:N,PROJETO!$Y$2,BD_LANÇAMENTOS!O:O,$A$22)</f>
        <v>0</v>
      </c>
      <c r="C27" s="37"/>
      <c r="D27" t="s">
        <v>1206</v>
      </c>
      <c r="E27" s="37">
        <f>SUMIFS(BD_LANÇAMENTOS!D:D,BD_LANÇAMENTOS!M:M,D27,BD_LANÇAMENTOS!O:O,$A$22)</f>
        <v>0</v>
      </c>
    </row>
    <row r="28" spans="1:5" x14ac:dyDescent="0.25">
      <c r="A28" t="s">
        <v>1145</v>
      </c>
      <c r="B28" s="37">
        <f>SUMIFS(BD_LANÇAMENTOS!D:D,BD_LANÇAMENTOS!C:C,A28,BD_LANÇAMENTOS!N:N,PROJETO!$Y$2,BD_LANÇAMENTOS!O:O,$A$22)</f>
        <v>0</v>
      </c>
      <c r="C28" s="37"/>
      <c r="D28" t="s">
        <v>1207</v>
      </c>
      <c r="E28" s="37">
        <f>SUMIFS(BD_LANÇAMENTOS!D:D,BD_LANÇAMENTOS!M:M,D28,BD_LANÇAMENTOS!O:O,$A$22)</f>
        <v>0</v>
      </c>
    </row>
    <row r="29" spans="1:5" x14ac:dyDescent="0.25">
      <c r="D29" t="s">
        <v>1208</v>
      </c>
      <c r="E29" s="37">
        <f>SUMIFS(BD_LANÇAMENTOS!D:D,BD_LANÇAMENTOS!M:M,D29,BD_LANÇAMENTOS!O:O,$A$22)</f>
        <v>0</v>
      </c>
    </row>
    <row r="30" spans="1:5" x14ac:dyDescent="0.25">
      <c r="D30" t="s">
        <v>1209</v>
      </c>
      <c r="E30" s="37">
        <f>SUMIFS(BD_LANÇAMENTOS!D:D,BD_LANÇAMENTOS!M:M,D30,BD_LANÇAMENTOS!O:O,$A$22)</f>
        <v>0</v>
      </c>
    </row>
    <row r="31" spans="1:5" x14ac:dyDescent="0.25">
      <c r="D31" t="s">
        <v>1210</v>
      </c>
      <c r="E31" s="37">
        <f>SUMIFS(BD_LANÇAMENTOS!D:D,BD_LANÇAMENTOS!M:M,D31,BD_LANÇAMENTOS!O:O,$A$22)</f>
        <v>0</v>
      </c>
    </row>
    <row r="32" spans="1:5" x14ac:dyDescent="0.25">
      <c r="D32" t="s">
        <v>1211</v>
      </c>
      <c r="E32" s="37">
        <f>SUMIFS(BD_LANÇAMENTOS!D:D,BD_LANÇAMENTOS!M:M,D32,BD_LANÇAMENTOS!O:O,$A$22)</f>
        <v>0</v>
      </c>
    </row>
    <row r="33" spans="1:5" x14ac:dyDescent="0.25">
      <c r="D33" t="s">
        <v>1212</v>
      </c>
      <c r="E33" s="37">
        <f>SUMIFS(BD_LANÇAMENTOS!D:D,BD_LANÇAMENTOS!M:M,D33,BD_LANÇAMENTOS!O:O,$A$22)</f>
        <v>0</v>
      </c>
    </row>
    <row r="35" spans="1:5" x14ac:dyDescent="0.25">
      <c r="A35" t="s">
        <v>1190</v>
      </c>
      <c r="B35" t="s">
        <v>1198</v>
      </c>
      <c r="E35" t="s">
        <v>1197</v>
      </c>
    </row>
    <row r="36" spans="1:5" x14ac:dyDescent="0.25">
      <c r="A36" t="s">
        <v>1191</v>
      </c>
      <c r="B36" s="37">
        <f>SUMIFS(BD_LANÇAMENTOS!D:D,BD_LANÇAMENTOS!C:C,A36,BD_LANÇAMENTOS!N:N,PROJETO!$Y$2,BD_LANÇAMENTOS!O:O,$A$35)</f>
        <v>0</v>
      </c>
      <c r="C36" s="37"/>
      <c r="D36" t="s">
        <v>1201</v>
      </c>
      <c r="E36" s="37">
        <f>SUMIFS(BD_LANÇAMENTOS!D:D,BD_LANÇAMENTOS!M:M,D36,BD_LANÇAMENTOS!O:O,$A$35)</f>
        <v>0</v>
      </c>
    </row>
    <row r="37" spans="1:5" x14ac:dyDescent="0.25">
      <c r="A37" t="s">
        <v>1147</v>
      </c>
      <c r="B37" s="37">
        <f>SUMIFS(BD_LANÇAMENTOS!D:D,BD_LANÇAMENTOS!C:C,A37,BD_LANÇAMENTOS!N:N,PROJETO!$Y$2,BD_LANÇAMENTOS!O:O,$A$35)</f>
        <v>0</v>
      </c>
      <c r="C37" s="37"/>
      <c r="D37" t="s">
        <v>1202</v>
      </c>
      <c r="E37" s="37">
        <f>SUMIFS(BD_LANÇAMENTOS!D:D,BD_LANÇAMENTOS!M:M,D37,BD_LANÇAMENTOS!O:O,$A$35)</f>
        <v>0</v>
      </c>
    </row>
    <row r="38" spans="1:5" x14ac:dyDescent="0.25">
      <c r="A38" t="s">
        <v>1192</v>
      </c>
      <c r="B38" s="37">
        <f>SUMIFS(BD_LANÇAMENTOS!D:D,BD_LANÇAMENTOS!C:C,A38,BD_LANÇAMENTOS!N:N,PROJETO!$Y$2,BD_LANÇAMENTOS!O:O,$A$35)</f>
        <v>0</v>
      </c>
      <c r="C38" s="37"/>
      <c r="D38" t="s">
        <v>1203</v>
      </c>
      <c r="E38" s="37">
        <f>SUMIFS(BD_LANÇAMENTOS!D:D,BD_LANÇAMENTOS!M:M,D38,BD_LANÇAMENTOS!O:O,$A$35)</f>
        <v>0</v>
      </c>
    </row>
    <row r="39" spans="1:5" x14ac:dyDescent="0.25">
      <c r="D39" t="s">
        <v>1204</v>
      </c>
      <c r="E39" s="37">
        <f>SUMIFS(BD_LANÇAMENTOS!D:D,BD_LANÇAMENTOS!M:M,D39,BD_LANÇAMENTOS!O:O,$A$35)</f>
        <v>0</v>
      </c>
    </row>
    <row r="40" spans="1:5" x14ac:dyDescent="0.25">
      <c r="D40" t="s">
        <v>1205</v>
      </c>
      <c r="E40" s="37">
        <f>SUMIFS(BD_LANÇAMENTOS!D:D,BD_LANÇAMENTOS!M:M,D40,BD_LANÇAMENTOS!O:O,$A$35)</f>
        <v>0</v>
      </c>
    </row>
    <row r="41" spans="1:5" x14ac:dyDescent="0.25">
      <c r="D41" t="s">
        <v>1206</v>
      </c>
      <c r="E41" s="37">
        <f>SUMIFS(BD_LANÇAMENTOS!D:D,BD_LANÇAMENTOS!M:M,D41,BD_LANÇAMENTOS!O:O,$A$35)</f>
        <v>0</v>
      </c>
    </row>
    <row r="42" spans="1:5" x14ac:dyDescent="0.25">
      <c r="D42" t="s">
        <v>1207</v>
      </c>
      <c r="E42" s="37">
        <f>SUMIFS(BD_LANÇAMENTOS!D:D,BD_LANÇAMENTOS!M:M,D42,BD_LANÇAMENTOS!O:O,$A$35)</f>
        <v>0</v>
      </c>
    </row>
    <row r="43" spans="1:5" x14ac:dyDescent="0.25">
      <c r="D43" t="s">
        <v>1208</v>
      </c>
      <c r="E43" s="37">
        <f>SUMIFS(BD_LANÇAMENTOS!D:D,BD_LANÇAMENTOS!M:M,D43,BD_LANÇAMENTOS!O:O,$A$35)</f>
        <v>0</v>
      </c>
    </row>
    <row r="44" spans="1:5" x14ac:dyDescent="0.25">
      <c r="D44" t="s">
        <v>1209</v>
      </c>
      <c r="E44" s="37">
        <f>SUMIFS(BD_LANÇAMENTOS!D:D,BD_LANÇAMENTOS!M:M,D44,BD_LANÇAMENTOS!O:O,$A$35)</f>
        <v>0</v>
      </c>
    </row>
    <row r="45" spans="1:5" x14ac:dyDescent="0.25">
      <c r="D45" t="s">
        <v>1210</v>
      </c>
      <c r="E45" s="37">
        <f>SUMIFS(BD_LANÇAMENTOS!D:D,BD_LANÇAMENTOS!M:M,D45,BD_LANÇAMENTOS!O:O,$A$35)</f>
        <v>0</v>
      </c>
    </row>
    <row r="46" spans="1:5" x14ac:dyDescent="0.25">
      <c r="D46" t="s">
        <v>1211</v>
      </c>
      <c r="E46" s="37">
        <f>SUMIFS(BD_LANÇAMENTOS!D:D,BD_LANÇAMENTOS!M:M,D46,BD_LANÇAMENTOS!O:O,$A$35)</f>
        <v>0</v>
      </c>
    </row>
    <row r="47" spans="1:5" x14ac:dyDescent="0.25">
      <c r="D47" t="s">
        <v>1212</v>
      </c>
      <c r="E47" s="37">
        <f>SUMIFS(BD_LANÇAMENTOS!D:D,BD_LANÇAMENTOS!M:M,D47,BD_LANÇAMENTOS!O:O,$A$35)</f>
        <v>0</v>
      </c>
    </row>
  </sheetData>
  <mergeCells count="2">
    <mergeCell ref="Y2:AA2"/>
    <mergeCell ref="A2:X2"/>
  </mergeCells>
  <phoneticPr fontId="8" type="noConversion"/>
  <conditionalFormatting sqref="B5:C10">
    <cfRule type="cellIs" dxfId="0" priority="1" operator="greaterThan">
      <formula>195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203" verticalDpi="203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6C012-1CF9-46AA-B05C-8B353F4A66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BD</vt:lpstr>
      <vt:lpstr>BD_LANÇAMENTOS</vt:lpstr>
      <vt:lpstr>PRODUTO</vt:lpstr>
      <vt:lpstr>META POR HORA</vt:lpstr>
      <vt:lpstr>Planilha1</vt:lpstr>
      <vt:lpstr>PROJETO</vt:lpstr>
      <vt:lpstr>Gráfico2</vt:lpstr>
      <vt:lpstr>Gráfico1</vt:lpstr>
      <vt:lpstr>BD_LANÇAMENTOS!Area_de_impressao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AMT01</dc:creator>
  <cp:lastModifiedBy>Luan Ribeiro</cp:lastModifiedBy>
  <cp:lastPrinted>2026-05-15T20:23:52Z</cp:lastPrinted>
  <dcterms:created xsi:type="dcterms:W3CDTF">2022-08-23T12:01:27Z</dcterms:created>
  <dcterms:modified xsi:type="dcterms:W3CDTF">2026-05-26T07:35:01Z</dcterms:modified>
</cp:coreProperties>
</file>